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riers" sheetId="1" state="visible" r:id="rId1"/>
    <sheet name="Insurance" sheetId="2" state="visible" r:id="rId2"/>
    <sheet name="Documents" sheetId="3" state="visible" r:id="rId3"/>
    <sheet name="Broker Setups" sheetId="4" state="visible" r:id="rId4"/>
    <sheet name="Retention Log" sheetId="5" state="visible" r:id="rId5"/>
    <sheet name="Brokers" sheetId="6" state="visible" r:id="rId6"/>
    <sheet name="Loads" sheetId="7" state="visible" r:id="rId7"/>
    <sheet name="Claims" sheetId="8" state="visible" r:id="rId8"/>
    <sheet name="Billing" sheetId="9" state="visible" r:id="rId9"/>
    <sheet name="Friday Report" sheetId="10" state="visible" r:id="rId10"/>
    <sheet name="Capac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$#,##0"/>
    <numFmt numFmtId="166" formatCode="$0.00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color rgb="FF0F2237"/>
      <sz val="13"/>
    </font>
    <font>
      <name val="Arial"/>
      <i val="1"/>
      <color rgb="FF7A8B9C"/>
      <sz val="9"/>
    </font>
    <font>
      <name val="Arial"/>
      <b val="1"/>
      <color rgb="FF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0F2237"/>
      </patternFill>
    </fill>
    <fill>
      <patternFill patternType="solid">
        <fgColor rgb="FFFFF9E0"/>
      </patternFill>
    </fill>
  </fills>
  <borders count="2">
    <border>
      <left/>
      <right/>
      <top/>
      <bottom/>
      <diagonal/>
    </border>
    <border>
      <left style="thin">
        <color rgb="FFDCE3EA"/>
      </left>
      <right style="thin">
        <color rgb="FFDCE3EA"/>
      </right>
      <top style="thin">
        <color rgb="FFDCE3EA"/>
      </top>
      <bottom style="thin">
        <color rgb="FFDCE3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pivotButton="0" quotePrefix="0" xfId="0"/>
    <xf numFmtId="164" fontId="4" fillId="3" borderId="1" pivotButton="0" quotePrefix="0" xfId="0"/>
    <xf numFmtId="164" fontId="4" fillId="0" borderId="1" pivotButton="0" quotePrefix="0" xfId="0"/>
    <xf numFmtId="0" fontId="4" fillId="0" borderId="1" pivotButton="0" quotePrefix="0" xfId="0"/>
    <xf numFmtId="0" fontId="0" fillId="3" borderId="0" pivotButton="0" quotePrefix="0" xfId="0"/>
    <xf numFmtId="164" fontId="0" fillId="3" borderId="0" pivotButton="0" quotePrefix="0" xfId="0"/>
    <xf numFmtId="164" fontId="4" fillId="0" borderId="0" pivotButton="0" quotePrefix="0" xfId="0"/>
    <xf numFmtId="165" fontId="4" fillId="3" borderId="1" pivotButton="0" quotePrefix="0" xfId="0"/>
    <xf numFmtId="165" fontId="0" fillId="3" borderId="0" pivotButton="0" quotePrefix="0" xfId="0"/>
    <xf numFmtId="0" fontId="4" fillId="0" borderId="0" pivotButton="0" quotePrefix="0" xfId="0"/>
    <xf numFmtId="166" fontId="4" fillId="0" borderId="1" pivotButton="0" quotePrefix="0" xfId="0"/>
    <xf numFmtId="166" fontId="4" fillId="0" borderId="0" pivotButton="0" quotePrefix="0" xfId="0"/>
    <xf numFmtId="165" fontId="4" fillId="0" borderId="1" pivotButton="0" quotePrefix="0" xfId="0"/>
    <xf numFmtId="165" fontId="4" fillId="0" borderId="0" pivotButton="0" quotePrefix="0" xfId="0"/>
    <xf numFmtId="167" fontId="4" fillId="0" borderId="1" pivotButton="0" quotePrefix="0" xfId="0"/>
    <xf numFmtId="167" fontId="4" fillId="0" borderId="0" pivotButton="0" quotePrefix="0" xfId="0"/>
    <xf numFmtId="0" fontId="3" fillId="2" borderId="1" pivotButton="0" quotePrefix="0" xfId="0"/>
    <xf numFmtId="0" fontId="4" fillId="3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FFD8F0E2"/>
        </patternFill>
      </fill>
    </dxf>
    <dxf>
      <fill>
        <patternFill patternType="solid">
          <fgColor rgb="FFFFE9D6"/>
        </patternFill>
      </fill>
    </dxf>
    <dxf>
      <font>
        <name val="Arial"/>
        <b val="1"/>
        <color rgb="FFB4442A"/>
        <sz val="10"/>
      </font>
      <fill>
        <patternFill patternType="solid">
          <fgColor rgb="FFF8D0C8"/>
        </patternFill>
      </fill>
    </dxf>
    <dxf>
      <fill>
        <patternFill patternType="solid">
          <fgColor rgb="FFFFE9C8"/>
        </patternFill>
      </fill>
    </dxf>
    <dxf>
      <fill>
        <patternFill patternType="solid">
          <fgColor rgb="FFF8D0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4" customWidth="1" min="5" max="5"/>
    <col width="18" customWidth="1" min="6" max="6"/>
    <col width="16" customWidth="1" min="7" max="7"/>
    <col width="26" customWidth="1" min="8" max="8"/>
    <col width="14" customWidth="1" min="9" max="9"/>
    <col width="12" customWidth="1" min="10" max="10"/>
    <col width="13" customWidth="1" min="11" max="11"/>
    <col width="14" customWidth="1" min="12" max="12"/>
    <col width="34" customWidth="1" min="13" max="13"/>
    <col width="13" customWidth="1" min="14" max="14"/>
  </cols>
  <sheetData>
    <row r="1">
      <c r="A1" s="1" t="inlineStr">
        <is>
          <t>STEADHAUL DISPATCH — CARRIERS</t>
        </is>
      </c>
    </row>
    <row r="2">
      <c r="A2" s="2" t="inlineStr">
        <is>
          <t>Yellow cells are yours to fill in. Row 4 is an example — delete it once you have real carriers.</t>
        </is>
      </c>
    </row>
    <row r="3" ht="30" customHeight="1">
      <c r="A3" s="3" t="inlineStr">
        <is>
          <t>Carrier</t>
        </is>
      </c>
      <c r="B3" s="3" t="inlineStr">
        <is>
          <t>MC #</t>
        </is>
      </c>
      <c r="C3" s="3" t="inlineStr">
        <is>
          <t>DOT #</t>
        </is>
      </c>
      <c r="D3" s="3" t="inlineStr">
        <is>
          <t>Status</t>
        </is>
      </c>
      <c r="E3" s="3" t="inlineStr">
        <is>
          <t>Equipment</t>
        </is>
      </c>
      <c r="F3" s="3" t="inlineStr">
        <is>
          <t>Contact</t>
        </is>
      </c>
      <c r="G3" s="3" t="inlineStr">
        <is>
          <t>Phone</t>
        </is>
      </c>
      <c r="H3" s="3" t="inlineStr">
        <is>
          <t>Email</t>
        </is>
      </c>
      <c r="I3" s="3" t="inlineStr">
        <is>
          <t>Home base</t>
        </is>
      </c>
      <c r="J3" s="3" t="inlineStr">
        <is>
          <t>Plan</t>
        </is>
      </c>
      <c r="K3" s="3" t="inlineStr">
        <is>
          <t>Start date</t>
        </is>
      </c>
      <c r="L3" s="3" t="inlineStr">
        <is>
          <t>Free week ends</t>
        </is>
      </c>
      <c r="M3" s="3" t="inlineStr">
        <is>
          <t>Notes</t>
        </is>
      </c>
      <c r="N3" s="3" t="inlineStr">
        <is>
          <t>Dispatcher</t>
        </is>
      </c>
    </row>
    <row r="4">
      <c r="A4" s="4" t="inlineStr">
        <is>
          <t>Example Trucking LLC</t>
        </is>
      </c>
      <c r="B4" s="4" t="inlineStr">
        <is>
          <t>MC-123456</t>
        </is>
      </c>
      <c r="C4" s="4" t="inlineStr">
        <is>
          <t>1234567</t>
        </is>
      </c>
      <c r="D4" s="4" t="inlineStr">
        <is>
          <t>Onboarding</t>
        </is>
      </c>
      <c r="E4" s="4" t="inlineStr">
        <is>
          <t>Reefer</t>
        </is>
      </c>
      <c r="F4" s="4" t="inlineStr">
        <is>
          <t>Sample Name</t>
        </is>
      </c>
      <c r="G4" s="4" t="inlineStr">
        <is>
          <t>(916) 555-0101</t>
        </is>
      </c>
      <c r="H4" s="4" t="inlineStr">
        <is>
          <t>name@example.com</t>
        </is>
      </c>
      <c r="I4" s="4" t="inlineStr">
        <is>
          <t>95814</t>
        </is>
      </c>
      <c r="J4" s="4" t="inlineStr">
        <is>
          <t>Core</t>
        </is>
      </c>
      <c r="K4" s="5" t="n">
        <v>46287</v>
      </c>
      <c r="L4" s="6">
        <f>IF(K4="","",K4+7)</f>
        <v/>
      </c>
      <c r="M4" s="7" t="inlineStr">
        <is>
          <t>Delete this row</t>
        </is>
      </c>
      <c r="N4" s="8" t="inlineStr">
        <is>
          <t>VS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9" t="n"/>
      <c r="L5" s="10">
        <f>IF(K5="","",K5+7)</f>
        <v/>
      </c>
      <c r="N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9" t="n"/>
      <c r="L6" s="10">
        <f>IF(K6="","",K6+7)</f>
        <v/>
      </c>
      <c r="N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9" t="n"/>
      <c r="L7" s="10">
        <f>IF(K7="","",K7+7)</f>
        <v/>
      </c>
      <c r="N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9" t="n"/>
      <c r="L8" s="10">
        <f>IF(K8="","",K8+7)</f>
        <v/>
      </c>
      <c r="N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9" t="n"/>
      <c r="L9" s="10">
        <f>IF(K9="","",K9+7)</f>
        <v/>
      </c>
      <c r="N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9" t="n"/>
      <c r="L10" s="10">
        <f>IF(K10="","",K10+7)</f>
        <v/>
      </c>
      <c r="N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9" t="n"/>
      <c r="L11" s="10">
        <f>IF(K11="","",K11+7)</f>
        <v/>
      </c>
      <c r="N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9" t="n"/>
      <c r="L12" s="10">
        <f>IF(K12="","",K12+7)</f>
        <v/>
      </c>
      <c r="N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9" t="n"/>
      <c r="L13" s="10">
        <f>IF(K13="","",K13+7)</f>
        <v/>
      </c>
      <c r="N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9" t="n"/>
      <c r="L14" s="10">
        <f>IF(K14="","",K14+7)</f>
        <v/>
      </c>
      <c r="N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 t="n"/>
      <c r="L15" s="10">
        <f>IF(K15="","",K15+7)</f>
        <v/>
      </c>
      <c r="N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9" t="n"/>
      <c r="L16" s="10">
        <f>IF(K16="","",K16+7)</f>
        <v/>
      </c>
      <c r="N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9" t="n"/>
      <c r="L17" s="10">
        <f>IF(K17="","",K17+7)</f>
        <v/>
      </c>
      <c r="N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9" t="n"/>
      <c r="L18" s="10">
        <f>IF(K18="","",K18+7)</f>
        <v/>
      </c>
      <c r="N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9" t="n"/>
      <c r="L19" s="10">
        <f>IF(K19="","",K19+7)</f>
        <v/>
      </c>
      <c r="N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9" t="n"/>
      <c r="L20" s="10">
        <f>IF(K20="","",K20+7)</f>
        <v/>
      </c>
      <c r="N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9" t="n"/>
      <c r="L21" s="10">
        <f>IF(K21="","",K21+7)</f>
        <v/>
      </c>
      <c r="N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9" t="n"/>
      <c r="L22" s="10">
        <f>IF(K22="","",K22+7)</f>
        <v/>
      </c>
      <c r="N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9" t="n"/>
      <c r="L23" s="10">
        <f>IF(K23="","",K23+7)</f>
        <v/>
      </c>
      <c r="N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9" t="n"/>
      <c r="L24" s="10">
        <f>IF(K24="","",K24+7)</f>
        <v/>
      </c>
      <c r="N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9" t="n"/>
      <c r="L25" s="10">
        <f>IF(K25="","",K25+7)</f>
        <v/>
      </c>
      <c r="N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9" t="n"/>
      <c r="L26" s="10">
        <f>IF(K26="","",K26+7)</f>
        <v/>
      </c>
      <c r="N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9" t="n"/>
      <c r="L27" s="10">
        <f>IF(K27="","",K27+7)</f>
        <v/>
      </c>
      <c r="N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9" t="n"/>
      <c r="L28" s="10">
        <f>IF(K28="","",K28+7)</f>
        <v/>
      </c>
      <c r="N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9" t="n"/>
      <c r="L29" s="10">
        <f>IF(K29="","",K29+7)</f>
        <v/>
      </c>
      <c r="N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9" t="n"/>
      <c r="L30" s="10">
        <f>IF(K30="","",K30+7)</f>
        <v/>
      </c>
      <c r="N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9" t="n"/>
      <c r="L31" s="10">
        <f>IF(K31="","",K31+7)</f>
        <v/>
      </c>
      <c r="N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9" t="n"/>
      <c r="L32" s="10">
        <f>IF(K32="","",K32+7)</f>
        <v/>
      </c>
      <c r="N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9" t="n"/>
      <c r="L33" s="10">
        <f>IF(K33="","",K33+7)</f>
        <v/>
      </c>
      <c r="N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9" t="n"/>
      <c r="L34" s="10">
        <f>IF(K34="","",K34+7)</f>
        <v/>
      </c>
      <c r="N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9" t="n"/>
      <c r="L35" s="10">
        <f>IF(K35="","",K35+7)</f>
        <v/>
      </c>
      <c r="N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9" t="n"/>
      <c r="L36" s="10">
        <f>IF(K36="","",K36+7)</f>
        <v/>
      </c>
      <c r="N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9" t="n"/>
      <c r="L37" s="10">
        <f>IF(K37="","",K37+7)</f>
        <v/>
      </c>
      <c r="N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9" t="n"/>
      <c r="L38" s="10">
        <f>IF(K38="","",K38+7)</f>
        <v/>
      </c>
      <c r="N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9" t="n"/>
      <c r="L39" s="10">
        <f>IF(K39="","",K39+7)</f>
        <v/>
      </c>
      <c r="N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9" t="n"/>
      <c r="L40" s="10">
        <f>IF(K40="","",K40+7)</f>
        <v/>
      </c>
      <c r="N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9" t="n"/>
      <c r="L41" s="10">
        <f>IF(K41="","",K41+7)</f>
        <v/>
      </c>
      <c r="N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9" t="n"/>
      <c r="L42" s="10">
        <f>IF(K42="","",K42+7)</f>
        <v/>
      </c>
      <c r="N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9" t="n"/>
      <c r="L43" s="10">
        <f>IF(K43="","",K43+7)</f>
        <v/>
      </c>
      <c r="N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9" t="n"/>
      <c r="L44" s="10">
        <f>IF(K44="","",K44+7)</f>
        <v/>
      </c>
      <c r="N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9" t="n"/>
      <c r="L45" s="10">
        <f>IF(K45="","",K45+7)</f>
        <v/>
      </c>
      <c r="N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9" t="n"/>
      <c r="L46" s="10">
        <f>IF(K46="","",K46+7)</f>
        <v/>
      </c>
      <c r="N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9" t="n"/>
      <c r="L47" s="10">
        <f>IF(K47="","",K47+7)</f>
        <v/>
      </c>
      <c r="N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9" t="n"/>
      <c r="L48" s="10">
        <f>IF(K48="","",K48+7)</f>
        <v/>
      </c>
      <c r="N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9" t="n"/>
      <c r="L49" s="10">
        <f>IF(K49="","",K49+7)</f>
        <v/>
      </c>
      <c r="N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9" t="n"/>
      <c r="L50" s="10">
        <f>IF(K50="","",K50+7)</f>
        <v/>
      </c>
      <c r="N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9" t="n"/>
      <c r="L51" s="10">
        <f>IF(K51="","",K51+7)</f>
        <v/>
      </c>
      <c r="N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9" t="n"/>
      <c r="L52" s="10">
        <f>IF(K52="","",K52+7)</f>
        <v/>
      </c>
      <c r="N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9" t="n"/>
      <c r="L53" s="10">
        <f>IF(K53="","",K53+7)</f>
        <v/>
      </c>
      <c r="N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9" t="n"/>
      <c r="L54" s="10">
        <f>IF(K54="","",K54+7)</f>
        <v/>
      </c>
      <c r="N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9" t="n"/>
      <c r="L55" s="10">
        <f>IF(K55="","",K55+7)</f>
        <v/>
      </c>
      <c r="N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9" t="n"/>
      <c r="L56" s="10">
        <f>IF(K56="","",K56+7)</f>
        <v/>
      </c>
      <c r="N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9" t="n"/>
      <c r="L57" s="10">
        <f>IF(K57="","",K57+7)</f>
        <v/>
      </c>
      <c r="N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9" t="n"/>
      <c r="L58" s="10">
        <f>IF(K58="","",K58+7)</f>
        <v/>
      </c>
      <c r="N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9" t="n"/>
      <c r="L59" s="10">
        <f>IF(K59="","",K59+7)</f>
        <v/>
      </c>
      <c r="N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9" t="n"/>
      <c r="L60" s="10">
        <f>IF(K60="","",K60+7)</f>
        <v/>
      </c>
      <c r="N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9" t="n"/>
      <c r="L61" s="10">
        <f>IF(K61="","",K61+7)</f>
        <v/>
      </c>
      <c r="N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9" t="n"/>
      <c r="L62" s="10">
        <f>IF(K62="","",K62+7)</f>
        <v/>
      </c>
      <c r="N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9" t="n"/>
      <c r="L63" s="10">
        <f>IF(K63="","",K63+7)</f>
        <v/>
      </c>
      <c r="N63" s="8" t="n"/>
    </row>
  </sheetData>
  <conditionalFormatting sqref="D4:D63">
    <cfRule type="cellIs" priority="1" operator="equal" dxfId="0">
      <formula>"Active"</formula>
    </cfRule>
    <cfRule type="cellIs" priority="2" operator="equal" dxfId="1">
      <formula>"Onboarding"</formula>
    </cfRule>
  </conditionalFormatting>
  <dataValidations count="2">
    <dataValidation sqref="D4:D63" showDropDown="0" showInputMessage="0" showErrorMessage="0" allowBlank="1" type="list">
      <formula1>"Prospect,Onboarding,Active,Paused,Left"</formula1>
    </dataValidation>
    <dataValidation sqref="J4:J63" showDropDown="0" showInputMessage="0" showErrorMessage="0" allowBlank="1" type="list">
      <formula1>"Core,Pro,Full Desk"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20" customWidth="1" min="4" max="4"/>
    <col width="16" customWidth="1" min="5" max="5"/>
    <col width="26" customWidth="1" min="6" max="6"/>
    <col width="15" customWidth="1" min="7" max="7"/>
    <col width="13" customWidth="1" min="8" max="8"/>
    <col width="14" customWidth="1" min="9" max="9"/>
    <col width="11" customWidth="1" min="10" max="10"/>
    <col width="12" customWidth="1" min="11" max="11"/>
    <col width="15" customWidth="1" min="12" max="12"/>
    <col width="16" customWidth="1" min="13" max="13"/>
  </cols>
  <sheetData>
    <row r="1">
      <c r="A1" s="1" t="inlineStr">
        <is>
          <t>STEADHAUL DISPATCH — INSURANCE</t>
        </is>
      </c>
    </row>
    <row r="2">
      <c r="A2" s="2" t="inlineStr">
        <is>
          <t>Days left is a formula — do not type over column J. Amber at 30 days, red at 14. This is the tab that stops a load falling over.</t>
        </is>
      </c>
    </row>
    <row r="3" ht="30" customHeight="1">
      <c r="A3" s="3" t="inlineStr">
        <is>
          <t>Carrier</t>
        </is>
      </c>
      <c r="B3" s="3" t="inlineStr">
        <is>
          <t>MC #</t>
        </is>
      </c>
      <c r="C3" s="3" t="inlineStr">
        <is>
          <t>Agent</t>
        </is>
      </c>
      <c r="D3" s="3" t="inlineStr">
        <is>
          <t>Agency</t>
        </is>
      </c>
      <c r="E3" s="3" t="inlineStr">
        <is>
          <t>Agent phone</t>
        </is>
      </c>
      <c r="F3" s="3" t="inlineStr">
        <is>
          <t>Agent email</t>
        </is>
      </c>
      <c r="G3" s="3" t="inlineStr">
        <is>
          <t>Auto liability</t>
        </is>
      </c>
      <c r="H3" s="3" t="inlineStr">
        <is>
          <t>Cargo</t>
        </is>
      </c>
      <c r="I3" s="3" t="inlineStr">
        <is>
          <t>Policy expires</t>
        </is>
      </c>
      <c r="J3" s="3" t="inlineStr">
        <is>
          <t>Days left</t>
        </is>
      </c>
      <c r="K3" s="3" t="inlineStr">
        <is>
          <t>COI on file</t>
        </is>
      </c>
      <c r="L3" s="3" t="inlineStr">
        <is>
          <t>Reefer breakdown</t>
        </is>
      </c>
      <c r="M3" s="3" t="inlineStr">
        <is>
          <t>Trailer interchange</t>
        </is>
      </c>
    </row>
    <row r="4">
      <c r="A4" s="4" t="inlineStr">
        <is>
          <t>Example Trucking LLC</t>
        </is>
      </c>
      <c r="B4" s="4" t="inlineStr">
        <is>
          <t>MC-123456</t>
        </is>
      </c>
      <c r="C4" s="4" t="inlineStr">
        <is>
          <t>Sample Agent</t>
        </is>
      </c>
      <c r="D4" s="4" t="inlineStr">
        <is>
          <t>Sample Agency</t>
        </is>
      </c>
      <c r="E4" s="4" t="inlineStr">
        <is>
          <t>(916) 555-0202</t>
        </is>
      </c>
      <c r="F4" s="4" t="inlineStr">
        <is>
          <t>agent@example.com</t>
        </is>
      </c>
      <c r="G4" s="11" t="n">
        <v>1000000</v>
      </c>
      <c r="H4" s="11" t="n">
        <v>100000</v>
      </c>
      <c r="I4" s="5" t="n">
        <v>46447</v>
      </c>
      <c r="J4" s="7">
        <f>IF(I4="","",I4-TODAY())</f>
        <v/>
      </c>
      <c r="K4" s="4" t="inlineStr">
        <is>
          <t>Yes</t>
        </is>
      </c>
      <c r="L4" s="4" t="inlineStr">
        <is>
          <t>Yes</t>
        </is>
      </c>
      <c r="M4" s="4" t="inlineStr">
        <is>
          <t>No</t>
        </is>
      </c>
    </row>
    <row r="5">
      <c r="A5" s="8" t="n"/>
      <c r="B5" s="8" t="n"/>
      <c r="C5" s="8" t="n"/>
      <c r="D5" s="8" t="n"/>
      <c r="E5" s="8" t="n"/>
      <c r="F5" s="8" t="n"/>
      <c r="G5" s="12" t="n"/>
      <c r="H5" s="12" t="n"/>
      <c r="I5" s="9" t="n"/>
      <c r="J5" s="13">
        <f>IF(I5="","",I5-TODAY())</f>
        <v/>
      </c>
      <c r="K5" s="8" t="n"/>
      <c r="L5" s="8" t="n"/>
      <c r="M5" s="8" t="n"/>
    </row>
    <row r="6">
      <c r="A6" s="8" t="n"/>
      <c r="B6" s="8" t="n"/>
      <c r="C6" s="8" t="n"/>
      <c r="D6" s="8" t="n"/>
      <c r="E6" s="8" t="n"/>
      <c r="F6" s="8" t="n"/>
      <c r="G6" s="12" t="n"/>
      <c r="H6" s="12" t="n"/>
      <c r="I6" s="9" t="n"/>
      <c r="J6" s="13">
        <f>IF(I6="","",I6-TODAY())</f>
        <v/>
      </c>
      <c r="K6" s="8" t="n"/>
      <c r="L6" s="8" t="n"/>
      <c r="M6" s="8" t="n"/>
    </row>
    <row r="7">
      <c r="A7" s="8" t="n"/>
      <c r="B7" s="8" t="n"/>
      <c r="C7" s="8" t="n"/>
      <c r="D7" s="8" t="n"/>
      <c r="E7" s="8" t="n"/>
      <c r="F7" s="8" t="n"/>
      <c r="G7" s="12" t="n"/>
      <c r="H7" s="12" t="n"/>
      <c r="I7" s="9" t="n"/>
      <c r="J7" s="13">
        <f>IF(I7="","",I7-TODAY())</f>
        <v/>
      </c>
      <c r="K7" s="8" t="n"/>
      <c r="L7" s="8" t="n"/>
      <c r="M7" s="8" t="n"/>
    </row>
    <row r="8">
      <c r="A8" s="8" t="n"/>
      <c r="B8" s="8" t="n"/>
      <c r="C8" s="8" t="n"/>
      <c r="D8" s="8" t="n"/>
      <c r="E8" s="8" t="n"/>
      <c r="F8" s="8" t="n"/>
      <c r="G8" s="12" t="n"/>
      <c r="H8" s="12" t="n"/>
      <c r="I8" s="9" t="n"/>
      <c r="J8" s="13">
        <f>IF(I8="","",I8-TODAY())</f>
        <v/>
      </c>
      <c r="K8" s="8" t="n"/>
      <c r="L8" s="8" t="n"/>
      <c r="M8" s="8" t="n"/>
    </row>
    <row r="9">
      <c r="A9" s="8" t="n"/>
      <c r="B9" s="8" t="n"/>
      <c r="C9" s="8" t="n"/>
      <c r="D9" s="8" t="n"/>
      <c r="E9" s="8" t="n"/>
      <c r="F9" s="8" t="n"/>
      <c r="G9" s="12" t="n"/>
      <c r="H9" s="12" t="n"/>
      <c r="I9" s="9" t="n"/>
      <c r="J9" s="13">
        <f>IF(I9="","",I9-TODAY())</f>
        <v/>
      </c>
      <c r="K9" s="8" t="n"/>
      <c r="L9" s="8" t="n"/>
      <c r="M9" s="8" t="n"/>
    </row>
    <row r="10">
      <c r="A10" s="8" t="n"/>
      <c r="B10" s="8" t="n"/>
      <c r="C10" s="8" t="n"/>
      <c r="D10" s="8" t="n"/>
      <c r="E10" s="8" t="n"/>
      <c r="F10" s="8" t="n"/>
      <c r="G10" s="12" t="n"/>
      <c r="H10" s="12" t="n"/>
      <c r="I10" s="9" t="n"/>
      <c r="J10" s="13">
        <f>IF(I10="","",I10-TODAY())</f>
        <v/>
      </c>
      <c r="K10" s="8" t="n"/>
      <c r="L10" s="8" t="n"/>
      <c r="M10" s="8" t="n"/>
    </row>
    <row r="11">
      <c r="A11" s="8" t="n"/>
      <c r="B11" s="8" t="n"/>
      <c r="C11" s="8" t="n"/>
      <c r="D11" s="8" t="n"/>
      <c r="E11" s="8" t="n"/>
      <c r="F11" s="8" t="n"/>
      <c r="G11" s="12" t="n"/>
      <c r="H11" s="12" t="n"/>
      <c r="I11" s="9" t="n"/>
      <c r="J11" s="13">
        <f>IF(I11="","",I11-TODAY())</f>
        <v/>
      </c>
      <c r="K11" s="8" t="n"/>
      <c r="L11" s="8" t="n"/>
      <c r="M11" s="8" t="n"/>
    </row>
    <row r="12">
      <c r="A12" s="8" t="n"/>
      <c r="B12" s="8" t="n"/>
      <c r="C12" s="8" t="n"/>
      <c r="D12" s="8" t="n"/>
      <c r="E12" s="8" t="n"/>
      <c r="F12" s="8" t="n"/>
      <c r="G12" s="12" t="n"/>
      <c r="H12" s="12" t="n"/>
      <c r="I12" s="9" t="n"/>
      <c r="J12" s="13">
        <f>IF(I12="","",I12-TODAY())</f>
        <v/>
      </c>
      <c r="K12" s="8" t="n"/>
      <c r="L12" s="8" t="n"/>
      <c r="M12" s="8" t="n"/>
    </row>
    <row r="13">
      <c r="A13" s="8" t="n"/>
      <c r="B13" s="8" t="n"/>
      <c r="C13" s="8" t="n"/>
      <c r="D13" s="8" t="n"/>
      <c r="E13" s="8" t="n"/>
      <c r="F13" s="8" t="n"/>
      <c r="G13" s="12" t="n"/>
      <c r="H13" s="12" t="n"/>
      <c r="I13" s="9" t="n"/>
      <c r="J13" s="13">
        <f>IF(I13="","",I13-TODAY())</f>
        <v/>
      </c>
      <c r="K13" s="8" t="n"/>
      <c r="L13" s="8" t="n"/>
      <c r="M13" s="8" t="n"/>
    </row>
    <row r="14">
      <c r="A14" s="8" t="n"/>
      <c r="B14" s="8" t="n"/>
      <c r="C14" s="8" t="n"/>
      <c r="D14" s="8" t="n"/>
      <c r="E14" s="8" t="n"/>
      <c r="F14" s="8" t="n"/>
      <c r="G14" s="12" t="n"/>
      <c r="H14" s="12" t="n"/>
      <c r="I14" s="9" t="n"/>
      <c r="J14" s="13">
        <f>IF(I14="","",I14-TODAY())</f>
        <v/>
      </c>
      <c r="K14" s="8" t="n"/>
      <c r="L14" s="8" t="n"/>
      <c r="M14" s="8" t="n"/>
    </row>
    <row r="15">
      <c r="A15" s="8" t="n"/>
      <c r="B15" s="8" t="n"/>
      <c r="C15" s="8" t="n"/>
      <c r="D15" s="8" t="n"/>
      <c r="E15" s="8" t="n"/>
      <c r="F15" s="8" t="n"/>
      <c r="G15" s="12" t="n"/>
      <c r="H15" s="12" t="n"/>
      <c r="I15" s="9" t="n"/>
      <c r="J15" s="13">
        <f>IF(I15="","",I15-TODAY())</f>
        <v/>
      </c>
      <c r="K15" s="8" t="n"/>
      <c r="L15" s="8" t="n"/>
      <c r="M15" s="8" t="n"/>
    </row>
    <row r="16">
      <c r="A16" s="8" t="n"/>
      <c r="B16" s="8" t="n"/>
      <c r="C16" s="8" t="n"/>
      <c r="D16" s="8" t="n"/>
      <c r="E16" s="8" t="n"/>
      <c r="F16" s="8" t="n"/>
      <c r="G16" s="12" t="n"/>
      <c r="H16" s="12" t="n"/>
      <c r="I16" s="9" t="n"/>
      <c r="J16" s="13">
        <f>IF(I16="","",I16-TODAY())</f>
        <v/>
      </c>
      <c r="K16" s="8" t="n"/>
      <c r="L16" s="8" t="n"/>
      <c r="M16" s="8" t="n"/>
    </row>
    <row r="17">
      <c r="A17" s="8" t="n"/>
      <c r="B17" s="8" t="n"/>
      <c r="C17" s="8" t="n"/>
      <c r="D17" s="8" t="n"/>
      <c r="E17" s="8" t="n"/>
      <c r="F17" s="8" t="n"/>
      <c r="G17" s="12" t="n"/>
      <c r="H17" s="12" t="n"/>
      <c r="I17" s="9" t="n"/>
      <c r="J17" s="13">
        <f>IF(I17="","",I17-TODAY())</f>
        <v/>
      </c>
      <c r="K17" s="8" t="n"/>
      <c r="L17" s="8" t="n"/>
      <c r="M17" s="8" t="n"/>
    </row>
    <row r="18">
      <c r="A18" s="8" t="n"/>
      <c r="B18" s="8" t="n"/>
      <c r="C18" s="8" t="n"/>
      <c r="D18" s="8" t="n"/>
      <c r="E18" s="8" t="n"/>
      <c r="F18" s="8" t="n"/>
      <c r="G18" s="12" t="n"/>
      <c r="H18" s="12" t="n"/>
      <c r="I18" s="9" t="n"/>
      <c r="J18" s="13">
        <f>IF(I18="","",I18-TODAY())</f>
        <v/>
      </c>
      <c r="K18" s="8" t="n"/>
      <c r="L18" s="8" t="n"/>
      <c r="M18" s="8" t="n"/>
    </row>
    <row r="19">
      <c r="A19" s="8" t="n"/>
      <c r="B19" s="8" t="n"/>
      <c r="C19" s="8" t="n"/>
      <c r="D19" s="8" t="n"/>
      <c r="E19" s="8" t="n"/>
      <c r="F19" s="8" t="n"/>
      <c r="G19" s="12" t="n"/>
      <c r="H19" s="12" t="n"/>
      <c r="I19" s="9" t="n"/>
      <c r="J19" s="13">
        <f>IF(I19="","",I19-TODAY())</f>
        <v/>
      </c>
      <c r="K19" s="8" t="n"/>
      <c r="L19" s="8" t="n"/>
      <c r="M19" s="8" t="n"/>
    </row>
    <row r="20">
      <c r="A20" s="8" t="n"/>
      <c r="B20" s="8" t="n"/>
      <c r="C20" s="8" t="n"/>
      <c r="D20" s="8" t="n"/>
      <c r="E20" s="8" t="n"/>
      <c r="F20" s="8" t="n"/>
      <c r="G20" s="12" t="n"/>
      <c r="H20" s="12" t="n"/>
      <c r="I20" s="9" t="n"/>
      <c r="J20" s="13">
        <f>IF(I20="","",I20-TODAY())</f>
        <v/>
      </c>
      <c r="K20" s="8" t="n"/>
      <c r="L20" s="8" t="n"/>
      <c r="M20" s="8" t="n"/>
    </row>
    <row r="21">
      <c r="A21" s="8" t="n"/>
      <c r="B21" s="8" t="n"/>
      <c r="C21" s="8" t="n"/>
      <c r="D21" s="8" t="n"/>
      <c r="E21" s="8" t="n"/>
      <c r="F21" s="8" t="n"/>
      <c r="G21" s="12" t="n"/>
      <c r="H21" s="12" t="n"/>
      <c r="I21" s="9" t="n"/>
      <c r="J21" s="13">
        <f>IF(I21="","",I21-TODAY())</f>
        <v/>
      </c>
      <c r="K21" s="8" t="n"/>
      <c r="L21" s="8" t="n"/>
      <c r="M21" s="8" t="n"/>
    </row>
    <row r="22">
      <c r="A22" s="8" t="n"/>
      <c r="B22" s="8" t="n"/>
      <c r="C22" s="8" t="n"/>
      <c r="D22" s="8" t="n"/>
      <c r="E22" s="8" t="n"/>
      <c r="F22" s="8" t="n"/>
      <c r="G22" s="12" t="n"/>
      <c r="H22" s="12" t="n"/>
      <c r="I22" s="9" t="n"/>
      <c r="J22" s="13">
        <f>IF(I22="","",I22-TODAY())</f>
        <v/>
      </c>
      <c r="K22" s="8" t="n"/>
      <c r="L22" s="8" t="n"/>
      <c r="M22" s="8" t="n"/>
    </row>
    <row r="23">
      <c r="A23" s="8" t="n"/>
      <c r="B23" s="8" t="n"/>
      <c r="C23" s="8" t="n"/>
      <c r="D23" s="8" t="n"/>
      <c r="E23" s="8" t="n"/>
      <c r="F23" s="8" t="n"/>
      <c r="G23" s="12" t="n"/>
      <c r="H23" s="12" t="n"/>
      <c r="I23" s="9" t="n"/>
      <c r="J23" s="13">
        <f>IF(I23="","",I23-TODAY())</f>
        <v/>
      </c>
      <c r="K23" s="8" t="n"/>
      <c r="L23" s="8" t="n"/>
      <c r="M23" s="8" t="n"/>
    </row>
    <row r="24">
      <c r="A24" s="8" t="n"/>
      <c r="B24" s="8" t="n"/>
      <c r="C24" s="8" t="n"/>
      <c r="D24" s="8" t="n"/>
      <c r="E24" s="8" t="n"/>
      <c r="F24" s="8" t="n"/>
      <c r="G24" s="12" t="n"/>
      <c r="H24" s="12" t="n"/>
      <c r="I24" s="9" t="n"/>
      <c r="J24" s="13">
        <f>IF(I24="","",I24-TODAY())</f>
        <v/>
      </c>
      <c r="K24" s="8" t="n"/>
      <c r="L24" s="8" t="n"/>
      <c r="M24" s="8" t="n"/>
    </row>
    <row r="25">
      <c r="A25" s="8" t="n"/>
      <c r="B25" s="8" t="n"/>
      <c r="C25" s="8" t="n"/>
      <c r="D25" s="8" t="n"/>
      <c r="E25" s="8" t="n"/>
      <c r="F25" s="8" t="n"/>
      <c r="G25" s="12" t="n"/>
      <c r="H25" s="12" t="n"/>
      <c r="I25" s="9" t="n"/>
      <c r="J25" s="13">
        <f>IF(I25="","",I25-TODAY())</f>
        <v/>
      </c>
      <c r="K25" s="8" t="n"/>
      <c r="L25" s="8" t="n"/>
      <c r="M25" s="8" t="n"/>
    </row>
    <row r="26">
      <c r="A26" s="8" t="n"/>
      <c r="B26" s="8" t="n"/>
      <c r="C26" s="8" t="n"/>
      <c r="D26" s="8" t="n"/>
      <c r="E26" s="8" t="n"/>
      <c r="F26" s="8" t="n"/>
      <c r="G26" s="12" t="n"/>
      <c r="H26" s="12" t="n"/>
      <c r="I26" s="9" t="n"/>
      <c r="J26" s="13">
        <f>IF(I26="","",I26-TODAY())</f>
        <v/>
      </c>
      <c r="K26" s="8" t="n"/>
      <c r="L26" s="8" t="n"/>
      <c r="M26" s="8" t="n"/>
    </row>
    <row r="27">
      <c r="A27" s="8" t="n"/>
      <c r="B27" s="8" t="n"/>
      <c r="C27" s="8" t="n"/>
      <c r="D27" s="8" t="n"/>
      <c r="E27" s="8" t="n"/>
      <c r="F27" s="8" t="n"/>
      <c r="G27" s="12" t="n"/>
      <c r="H27" s="12" t="n"/>
      <c r="I27" s="9" t="n"/>
      <c r="J27" s="13">
        <f>IF(I27="","",I27-TODAY())</f>
        <v/>
      </c>
      <c r="K27" s="8" t="n"/>
      <c r="L27" s="8" t="n"/>
      <c r="M27" s="8" t="n"/>
    </row>
    <row r="28">
      <c r="A28" s="8" t="n"/>
      <c r="B28" s="8" t="n"/>
      <c r="C28" s="8" t="n"/>
      <c r="D28" s="8" t="n"/>
      <c r="E28" s="8" t="n"/>
      <c r="F28" s="8" t="n"/>
      <c r="G28" s="12" t="n"/>
      <c r="H28" s="12" t="n"/>
      <c r="I28" s="9" t="n"/>
      <c r="J28" s="13">
        <f>IF(I28="","",I28-TODAY())</f>
        <v/>
      </c>
      <c r="K28" s="8" t="n"/>
      <c r="L28" s="8" t="n"/>
      <c r="M28" s="8" t="n"/>
    </row>
    <row r="29">
      <c r="A29" s="8" t="n"/>
      <c r="B29" s="8" t="n"/>
      <c r="C29" s="8" t="n"/>
      <c r="D29" s="8" t="n"/>
      <c r="E29" s="8" t="n"/>
      <c r="F29" s="8" t="n"/>
      <c r="G29" s="12" t="n"/>
      <c r="H29" s="12" t="n"/>
      <c r="I29" s="9" t="n"/>
      <c r="J29" s="13">
        <f>IF(I29="","",I29-TODAY())</f>
        <v/>
      </c>
      <c r="K29" s="8" t="n"/>
      <c r="L29" s="8" t="n"/>
      <c r="M29" s="8" t="n"/>
    </row>
    <row r="30">
      <c r="A30" s="8" t="n"/>
      <c r="B30" s="8" t="n"/>
      <c r="C30" s="8" t="n"/>
      <c r="D30" s="8" t="n"/>
      <c r="E30" s="8" t="n"/>
      <c r="F30" s="8" t="n"/>
      <c r="G30" s="12" t="n"/>
      <c r="H30" s="12" t="n"/>
      <c r="I30" s="9" t="n"/>
      <c r="J30" s="13">
        <f>IF(I30="","",I30-TODAY())</f>
        <v/>
      </c>
      <c r="K30" s="8" t="n"/>
      <c r="L30" s="8" t="n"/>
      <c r="M30" s="8" t="n"/>
    </row>
    <row r="31">
      <c r="A31" s="8" t="n"/>
      <c r="B31" s="8" t="n"/>
      <c r="C31" s="8" t="n"/>
      <c r="D31" s="8" t="n"/>
      <c r="E31" s="8" t="n"/>
      <c r="F31" s="8" t="n"/>
      <c r="G31" s="12" t="n"/>
      <c r="H31" s="12" t="n"/>
      <c r="I31" s="9" t="n"/>
      <c r="J31" s="13">
        <f>IF(I31="","",I31-TODAY())</f>
        <v/>
      </c>
      <c r="K31" s="8" t="n"/>
      <c r="L31" s="8" t="n"/>
      <c r="M31" s="8" t="n"/>
    </row>
    <row r="32">
      <c r="A32" s="8" t="n"/>
      <c r="B32" s="8" t="n"/>
      <c r="C32" s="8" t="n"/>
      <c r="D32" s="8" t="n"/>
      <c r="E32" s="8" t="n"/>
      <c r="F32" s="8" t="n"/>
      <c r="G32" s="12" t="n"/>
      <c r="H32" s="12" t="n"/>
      <c r="I32" s="9" t="n"/>
      <c r="J32" s="13">
        <f>IF(I32="","",I32-TODAY())</f>
        <v/>
      </c>
      <c r="K32" s="8" t="n"/>
      <c r="L32" s="8" t="n"/>
      <c r="M32" s="8" t="n"/>
    </row>
    <row r="33">
      <c r="A33" s="8" t="n"/>
      <c r="B33" s="8" t="n"/>
      <c r="C33" s="8" t="n"/>
      <c r="D33" s="8" t="n"/>
      <c r="E33" s="8" t="n"/>
      <c r="F33" s="8" t="n"/>
      <c r="G33" s="12" t="n"/>
      <c r="H33" s="12" t="n"/>
      <c r="I33" s="9" t="n"/>
      <c r="J33" s="13">
        <f>IF(I33="","",I33-TODAY())</f>
        <v/>
      </c>
      <c r="K33" s="8" t="n"/>
      <c r="L33" s="8" t="n"/>
      <c r="M33" s="8" t="n"/>
    </row>
    <row r="34">
      <c r="A34" s="8" t="n"/>
      <c r="B34" s="8" t="n"/>
      <c r="C34" s="8" t="n"/>
      <c r="D34" s="8" t="n"/>
      <c r="E34" s="8" t="n"/>
      <c r="F34" s="8" t="n"/>
      <c r="G34" s="12" t="n"/>
      <c r="H34" s="12" t="n"/>
      <c r="I34" s="9" t="n"/>
      <c r="J34" s="13">
        <f>IF(I34="","",I34-TODAY())</f>
        <v/>
      </c>
      <c r="K34" s="8" t="n"/>
      <c r="L34" s="8" t="n"/>
      <c r="M34" s="8" t="n"/>
    </row>
    <row r="35">
      <c r="A35" s="8" t="n"/>
      <c r="B35" s="8" t="n"/>
      <c r="C35" s="8" t="n"/>
      <c r="D35" s="8" t="n"/>
      <c r="E35" s="8" t="n"/>
      <c r="F35" s="8" t="n"/>
      <c r="G35" s="12" t="n"/>
      <c r="H35" s="12" t="n"/>
      <c r="I35" s="9" t="n"/>
      <c r="J35" s="13">
        <f>IF(I35="","",I35-TODAY())</f>
        <v/>
      </c>
      <c r="K35" s="8" t="n"/>
      <c r="L35" s="8" t="n"/>
      <c r="M35" s="8" t="n"/>
    </row>
    <row r="36">
      <c r="A36" s="8" t="n"/>
      <c r="B36" s="8" t="n"/>
      <c r="C36" s="8" t="n"/>
      <c r="D36" s="8" t="n"/>
      <c r="E36" s="8" t="n"/>
      <c r="F36" s="8" t="n"/>
      <c r="G36" s="12" t="n"/>
      <c r="H36" s="12" t="n"/>
      <c r="I36" s="9" t="n"/>
      <c r="J36" s="13">
        <f>IF(I36="","",I36-TODAY())</f>
        <v/>
      </c>
      <c r="K36" s="8" t="n"/>
      <c r="L36" s="8" t="n"/>
      <c r="M36" s="8" t="n"/>
    </row>
    <row r="37">
      <c r="A37" s="8" t="n"/>
      <c r="B37" s="8" t="n"/>
      <c r="C37" s="8" t="n"/>
      <c r="D37" s="8" t="n"/>
      <c r="E37" s="8" t="n"/>
      <c r="F37" s="8" t="n"/>
      <c r="G37" s="12" t="n"/>
      <c r="H37" s="12" t="n"/>
      <c r="I37" s="9" t="n"/>
      <c r="J37" s="13">
        <f>IF(I37="","",I37-TODAY())</f>
        <v/>
      </c>
      <c r="K37" s="8" t="n"/>
      <c r="L37" s="8" t="n"/>
      <c r="M37" s="8" t="n"/>
    </row>
    <row r="38">
      <c r="A38" s="8" t="n"/>
      <c r="B38" s="8" t="n"/>
      <c r="C38" s="8" t="n"/>
      <c r="D38" s="8" t="n"/>
      <c r="E38" s="8" t="n"/>
      <c r="F38" s="8" t="n"/>
      <c r="G38" s="12" t="n"/>
      <c r="H38" s="12" t="n"/>
      <c r="I38" s="9" t="n"/>
      <c r="J38" s="13">
        <f>IF(I38="","",I38-TODAY())</f>
        <v/>
      </c>
      <c r="K38" s="8" t="n"/>
      <c r="L38" s="8" t="n"/>
      <c r="M38" s="8" t="n"/>
    </row>
    <row r="39">
      <c r="A39" s="8" t="n"/>
      <c r="B39" s="8" t="n"/>
      <c r="C39" s="8" t="n"/>
      <c r="D39" s="8" t="n"/>
      <c r="E39" s="8" t="n"/>
      <c r="F39" s="8" t="n"/>
      <c r="G39" s="12" t="n"/>
      <c r="H39" s="12" t="n"/>
      <c r="I39" s="9" t="n"/>
      <c r="J39" s="13">
        <f>IF(I39="","",I39-TODAY())</f>
        <v/>
      </c>
      <c r="K39" s="8" t="n"/>
      <c r="L39" s="8" t="n"/>
      <c r="M39" s="8" t="n"/>
    </row>
    <row r="40">
      <c r="A40" s="8" t="n"/>
      <c r="B40" s="8" t="n"/>
      <c r="C40" s="8" t="n"/>
      <c r="D40" s="8" t="n"/>
      <c r="E40" s="8" t="n"/>
      <c r="F40" s="8" t="n"/>
      <c r="G40" s="12" t="n"/>
      <c r="H40" s="12" t="n"/>
      <c r="I40" s="9" t="n"/>
      <c r="J40" s="13">
        <f>IF(I40="","",I40-TODAY())</f>
        <v/>
      </c>
      <c r="K40" s="8" t="n"/>
      <c r="L40" s="8" t="n"/>
      <c r="M40" s="8" t="n"/>
    </row>
    <row r="41">
      <c r="A41" s="8" t="n"/>
      <c r="B41" s="8" t="n"/>
      <c r="C41" s="8" t="n"/>
      <c r="D41" s="8" t="n"/>
      <c r="E41" s="8" t="n"/>
      <c r="F41" s="8" t="n"/>
      <c r="G41" s="12" t="n"/>
      <c r="H41" s="12" t="n"/>
      <c r="I41" s="9" t="n"/>
      <c r="J41" s="13">
        <f>IF(I41="","",I41-TODAY())</f>
        <v/>
      </c>
      <c r="K41" s="8" t="n"/>
      <c r="L41" s="8" t="n"/>
      <c r="M41" s="8" t="n"/>
    </row>
    <row r="42">
      <c r="A42" s="8" t="n"/>
      <c r="B42" s="8" t="n"/>
      <c r="C42" s="8" t="n"/>
      <c r="D42" s="8" t="n"/>
      <c r="E42" s="8" t="n"/>
      <c r="F42" s="8" t="n"/>
      <c r="G42" s="12" t="n"/>
      <c r="H42" s="12" t="n"/>
      <c r="I42" s="9" t="n"/>
      <c r="J42" s="13">
        <f>IF(I42="","",I42-TODAY())</f>
        <v/>
      </c>
      <c r="K42" s="8" t="n"/>
      <c r="L42" s="8" t="n"/>
      <c r="M42" s="8" t="n"/>
    </row>
    <row r="43">
      <c r="A43" s="8" t="n"/>
      <c r="B43" s="8" t="n"/>
      <c r="C43" s="8" t="n"/>
      <c r="D43" s="8" t="n"/>
      <c r="E43" s="8" t="n"/>
      <c r="F43" s="8" t="n"/>
      <c r="G43" s="12" t="n"/>
      <c r="H43" s="12" t="n"/>
      <c r="I43" s="9" t="n"/>
      <c r="J43" s="13">
        <f>IF(I43="","",I43-TODAY())</f>
        <v/>
      </c>
      <c r="K43" s="8" t="n"/>
      <c r="L43" s="8" t="n"/>
      <c r="M43" s="8" t="n"/>
    </row>
    <row r="44">
      <c r="A44" s="8" t="n"/>
      <c r="B44" s="8" t="n"/>
      <c r="C44" s="8" t="n"/>
      <c r="D44" s="8" t="n"/>
      <c r="E44" s="8" t="n"/>
      <c r="F44" s="8" t="n"/>
      <c r="G44" s="12" t="n"/>
      <c r="H44" s="12" t="n"/>
      <c r="I44" s="9" t="n"/>
      <c r="J44" s="13">
        <f>IF(I44="","",I44-TODAY())</f>
        <v/>
      </c>
      <c r="K44" s="8" t="n"/>
      <c r="L44" s="8" t="n"/>
      <c r="M44" s="8" t="n"/>
    </row>
    <row r="45">
      <c r="A45" s="8" t="n"/>
      <c r="B45" s="8" t="n"/>
      <c r="C45" s="8" t="n"/>
      <c r="D45" s="8" t="n"/>
      <c r="E45" s="8" t="n"/>
      <c r="F45" s="8" t="n"/>
      <c r="G45" s="12" t="n"/>
      <c r="H45" s="12" t="n"/>
      <c r="I45" s="9" t="n"/>
      <c r="J45" s="13">
        <f>IF(I45="","",I45-TODAY())</f>
        <v/>
      </c>
      <c r="K45" s="8" t="n"/>
      <c r="L45" s="8" t="n"/>
      <c r="M45" s="8" t="n"/>
    </row>
    <row r="46">
      <c r="A46" s="8" t="n"/>
      <c r="B46" s="8" t="n"/>
      <c r="C46" s="8" t="n"/>
      <c r="D46" s="8" t="n"/>
      <c r="E46" s="8" t="n"/>
      <c r="F46" s="8" t="n"/>
      <c r="G46" s="12" t="n"/>
      <c r="H46" s="12" t="n"/>
      <c r="I46" s="9" t="n"/>
      <c r="J46" s="13">
        <f>IF(I46="","",I46-TODAY())</f>
        <v/>
      </c>
      <c r="K46" s="8" t="n"/>
      <c r="L46" s="8" t="n"/>
      <c r="M46" s="8" t="n"/>
    </row>
    <row r="47">
      <c r="A47" s="8" t="n"/>
      <c r="B47" s="8" t="n"/>
      <c r="C47" s="8" t="n"/>
      <c r="D47" s="8" t="n"/>
      <c r="E47" s="8" t="n"/>
      <c r="F47" s="8" t="n"/>
      <c r="G47" s="12" t="n"/>
      <c r="H47" s="12" t="n"/>
      <c r="I47" s="9" t="n"/>
      <c r="J47" s="13">
        <f>IF(I47="","",I47-TODAY())</f>
        <v/>
      </c>
      <c r="K47" s="8" t="n"/>
      <c r="L47" s="8" t="n"/>
      <c r="M47" s="8" t="n"/>
    </row>
    <row r="48">
      <c r="A48" s="8" t="n"/>
      <c r="B48" s="8" t="n"/>
      <c r="C48" s="8" t="n"/>
      <c r="D48" s="8" t="n"/>
      <c r="E48" s="8" t="n"/>
      <c r="F48" s="8" t="n"/>
      <c r="G48" s="12" t="n"/>
      <c r="H48" s="12" t="n"/>
      <c r="I48" s="9" t="n"/>
      <c r="J48" s="13">
        <f>IF(I48="","",I48-TODAY())</f>
        <v/>
      </c>
      <c r="K48" s="8" t="n"/>
      <c r="L48" s="8" t="n"/>
      <c r="M48" s="8" t="n"/>
    </row>
    <row r="49">
      <c r="A49" s="8" t="n"/>
      <c r="B49" s="8" t="n"/>
      <c r="C49" s="8" t="n"/>
      <c r="D49" s="8" t="n"/>
      <c r="E49" s="8" t="n"/>
      <c r="F49" s="8" t="n"/>
      <c r="G49" s="12" t="n"/>
      <c r="H49" s="12" t="n"/>
      <c r="I49" s="9" t="n"/>
      <c r="J49" s="13">
        <f>IF(I49="","",I49-TODAY())</f>
        <v/>
      </c>
      <c r="K49" s="8" t="n"/>
      <c r="L49" s="8" t="n"/>
      <c r="M49" s="8" t="n"/>
    </row>
    <row r="50">
      <c r="A50" s="8" t="n"/>
      <c r="B50" s="8" t="n"/>
      <c r="C50" s="8" t="n"/>
      <c r="D50" s="8" t="n"/>
      <c r="E50" s="8" t="n"/>
      <c r="F50" s="8" t="n"/>
      <c r="G50" s="12" t="n"/>
      <c r="H50" s="12" t="n"/>
      <c r="I50" s="9" t="n"/>
      <c r="J50" s="13">
        <f>IF(I50="","",I50-TODAY())</f>
        <v/>
      </c>
      <c r="K50" s="8" t="n"/>
      <c r="L50" s="8" t="n"/>
      <c r="M50" s="8" t="n"/>
    </row>
    <row r="51">
      <c r="A51" s="8" t="n"/>
      <c r="B51" s="8" t="n"/>
      <c r="C51" s="8" t="n"/>
      <c r="D51" s="8" t="n"/>
      <c r="E51" s="8" t="n"/>
      <c r="F51" s="8" t="n"/>
      <c r="G51" s="12" t="n"/>
      <c r="H51" s="12" t="n"/>
      <c r="I51" s="9" t="n"/>
      <c r="J51" s="13">
        <f>IF(I51="","",I51-TODAY())</f>
        <v/>
      </c>
      <c r="K51" s="8" t="n"/>
      <c r="L51" s="8" t="n"/>
      <c r="M51" s="8" t="n"/>
    </row>
    <row r="52">
      <c r="A52" s="8" t="n"/>
      <c r="B52" s="8" t="n"/>
      <c r="C52" s="8" t="n"/>
      <c r="D52" s="8" t="n"/>
      <c r="E52" s="8" t="n"/>
      <c r="F52" s="8" t="n"/>
      <c r="G52" s="12" t="n"/>
      <c r="H52" s="12" t="n"/>
      <c r="I52" s="9" t="n"/>
      <c r="J52" s="13">
        <f>IF(I52="","",I52-TODAY())</f>
        <v/>
      </c>
      <c r="K52" s="8" t="n"/>
      <c r="L52" s="8" t="n"/>
      <c r="M52" s="8" t="n"/>
    </row>
    <row r="53">
      <c r="A53" s="8" t="n"/>
      <c r="B53" s="8" t="n"/>
      <c r="C53" s="8" t="n"/>
      <c r="D53" s="8" t="n"/>
      <c r="E53" s="8" t="n"/>
      <c r="F53" s="8" t="n"/>
      <c r="G53" s="12" t="n"/>
      <c r="H53" s="12" t="n"/>
      <c r="I53" s="9" t="n"/>
      <c r="J53" s="13">
        <f>IF(I53="","",I53-TODAY())</f>
        <v/>
      </c>
      <c r="K53" s="8" t="n"/>
      <c r="L53" s="8" t="n"/>
      <c r="M53" s="8" t="n"/>
    </row>
    <row r="54">
      <c r="A54" s="8" t="n"/>
      <c r="B54" s="8" t="n"/>
      <c r="C54" s="8" t="n"/>
      <c r="D54" s="8" t="n"/>
      <c r="E54" s="8" t="n"/>
      <c r="F54" s="8" t="n"/>
      <c r="G54" s="12" t="n"/>
      <c r="H54" s="12" t="n"/>
      <c r="I54" s="9" t="n"/>
      <c r="J54" s="13">
        <f>IF(I54="","",I54-TODAY())</f>
        <v/>
      </c>
      <c r="K54" s="8" t="n"/>
      <c r="L54" s="8" t="n"/>
      <c r="M54" s="8" t="n"/>
    </row>
    <row r="55">
      <c r="A55" s="8" t="n"/>
      <c r="B55" s="8" t="n"/>
      <c r="C55" s="8" t="n"/>
      <c r="D55" s="8" t="n"/>
      <c r="E55" s="8" t="n"/>
      <c r="F55" s="8" t="n"/>
      <c r="G55" s="12" t="n"/>
      <c r="H55" s="12" t="n"/>
      <c r="I55" s="9" t="n"/>
      <c r="J55" s="13">
        <f>IF(I55="","",I55-TODAY())</f>
        <v/>
      </c>
      <c r="K55" s="8" t="n"/>
      <c r="L55" s="8" t="n"/>
      <c r="M55" s="8" t="n"/>
    </row>
    <row r="56">
      <c r="A56" s="8" t="n"/>
      <c r="B56" s="8" t="n"/>
      <c r="C56" s="8" t="n"/>
      <c r="D56" s="8" t="n"/>
      <c r="E56" s="8" t="n"/>
      <c r="F56" s="8" t="n"/>
      <c r="G56" s="12" t="n"/>
      <c r="H56" s="12" t="n"/>
      <c r="I56" s="9" t="n"/>
      <c r="J56" s="13">
        <f>IF(I56="","",I56-TODAY())</f>
        <v/>
      </c>
      <c r="K56" s="8" t="n"/>
      <c r="L56" s="8" t="n"/>
      <c r="M56" s="8" t="n"/>
    </row>
    <row r="57">
      <c r="A57" s="8" t="n"/>
      <c r="B57" s="8" t="n"/>
      <c r="C57" s="8" t="n"/>
      <c r="D57" s="8" t="n"/>
      <c r="E57" s="8" t="n"/>
      <c r="F57" s="8" t="n"/>
      <c r="G57" s="12" t="n"/>
      <c r="H57" s="12" t="n"/>
      <c r="I57" s="9" t="n"/>
      <c r="J57" s="13">
        <f>IF(I57="","",I57-TODAY())</f>
        <v/>
      </c>
      <c r="K57" s="8" t="n"/>
      <c r="L57" s="8" t="n"/>
      <c r="M57" s="8" t="n"/>
    </row>
    <row r="58">
      <c r="A58" s="8" t="n"/>
      <c r="B58" s="8" t="n"/>
      <c r="C58" s="8" t="n"/>
      <c r="D58" s="8" t="n"/>
      <c r="E58" s="8" t="n"/>
      <c r="F58" s="8" t="n"/>
      <c r="G58" s="12" t="n"/>
      <c r="H58" s="12" t="n"/>
      <c r="I58" s="9" t="n"/>
      <c r="J58" s="13">
        <f>IF(I58="","",I58-TODAY())</f>
        <v/>
      </c>
      <c r="K58" s="8" t="n"/>
      <c r="L58" s="8" t="n"/>
      <c r="M58" s="8" t="n"/>
    </row>
    <row r="59">
      <c r="A59" s="8" t="n"/>
      <c r="B59" s="8" t="n"/>
      <c r="C59" s="8" t="n"/>
      <c r="D59" s="8" t="n"/>
      <c r="E59" s="8" t="n"/>
      <c r="F59" s="8" t="n"/>
      <c r="G59" s="12" t="n"/>
      <c r="H59" s="12" t="n"/>
      <c r="I59" s="9" t="n"/>
      <c r="J59" s="13">
        <f>IF(I59="","",I59-TODAY())</f>
        <v/>
      </c>
      <c r="K59" s="8" t="n"/>
      <c r="L59" s="8" t="n"/>
      <c r="M59" s="8" t="n"/>
    </row>
    <row r="60">
      <c r="A60" s="8" t="n"/>
      <c r="B60" s="8" t="n"/>
      <c r="C60" s="8" t="n"/>
      <c r="D60" s="8" t="n"/>
      <c r="E60" s="8" t="n"/>
      <c r="F60" s="8" t="n"/>
      <c r="G60" s="12" t="n"/>
      <c r="H60" s="12" t="n"/>
      <c r="I60" s="9" t="n"/>
      <c r="J60" s="13">
        <f>IF(I60="","",I60-TODAY())</f>
        <v/>
      </c>
      <c r="K60" s="8" t="n"/>
      <c r="L60" s="8" t="n"/>
      <c r="M60" s="8" t="n"/>
    </row>
    <row r="61">
      <c r="A61" s="8" t="n"/>
      <c r="B61" s="8" t="n"/>
      <c r="C61" s="8" t="n"/>
      <c r="D61" s="8" t="n"/>
      <c r="E61" s="8" t="n"/>
      <c r="F61" s="8" t="n"/>
      <c r="G61" s="12" t="n"/>
      <c r="H61" s="12" t="n"/>
      <c r="I61" s="9" t="n"/>
      <c r="J61" s="13">
        <f>IF(I61="","",I61-TODAY())</f>
        <v/>
      </c>
      <c r="K61" s="8" t="n"/>
      <c r="L61" s="8" t="n"/>
      <c r="M61" s="8" t="n"/>
    </row>
    <row r="62">
      <c r="A62" s="8" t="n"/>
      <c r="B62" s="8" t="n"/>
      <c r="C62" s="8" t="n"/>
      <c r="D62" s="8" t="n"/>
      <c r="E62" s="8" t="n"/>
      <c r="F62" s="8" t="n"/>
      <c r="G62" s="12" t="n"/>
      <c r="H62" s="12" t="n"/>
      <c r="I62" s="9" t="n"/>
      <c r="J62" s="13">
        <f>IF(I62="","",I62-TODAY())</f>
        <v/>
      </c>
      <c r="K62" s="8" t="n"/>
      <c r="L62" s="8" t="n"/>
      <c r="M62" s="8" t="n"/>
    </row>
    <row r="63">
      <c r="A63" s="8" t="n"/>
      <c r="B63" s="8" t="n"/>
      <c r="C63" s="8" t="n"/>
      <c r="D63" s="8" t="n"/>
      <c r="E63" s="8" t="n"/>
      <c r="F63" s="8" t="n"/>
      <c r="G63" s="12" t="n"/>
      <c r="H63" s="12" t="n"/>
      <c r="I63" s="9" t="n"/>
      <c r="J63" s="13">
        <f>IF(I63="","",I63-TODAY())</f>
        <v/>
      </c>
      <c r="K63" s="8" t="n"/>
      <c r="L63" s="8" t="n"/>
      <c r="M63" s="8" t="n"/>
    </row>
  </sheetData>
  <conditionalFormatting sqref="J4:J63">
    <cfRule type="cellIs" priority="1" operator="lessThan" dxfId="2">
      <formula>15</formula>
    </cfRule>
    <cfRule type="cellIs" priority="2" operator="between" dxfId="3">
      <formula>15</formula>
      <formula>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5" customWidth="1" min="3" max="3"/>
    <col width="15" customWidth="1" min="4" max="4"/>
    <col width="14" customWidth="1" min="5" max="5"/>
    <col width="15" customWidth="1" min="6" max="6"/>
    <col width="11" customWidth="1" min="7" max="7"/>
    <col width="18" customWidth="1" min="8" max="8"/>
    <col width="11" customWidth="1" min="9" max="9"/>
    <col width="15" customWidth="1" min="10" max="10"/>
  </cols>
  <sheetData>
    <row r="1">
      <c r="A1" s="1" t="inlineStr">
        <is>
          <t>STEADHAUL DISPATCH — DOCUMENTS</t>
        </is>
      </c>
    </row>
    <row r="2">
      <c r="A2" s="2" t="inlineStr">
        <is>
          <t>W-9 DELETED is not optional bookkeeping. You have no tax reason to hold a carrier's W-9 — forward it to brokers, delete it, date it here.</t>
        </is>
      </c>
    </row>
    <row r="3" ht="30" customHeight="1">
      <c r="A3" s="3" t="inlineStr">
        <is>
          <t>Carrier</t>
        </is>
      </c>
      <c r="B3" s="3" t="inlineStr">
        <is>
          <t>MC #</t>
        </is>
      </c>
      <c r="C3" s="3" t="inlineStr">
        <is>
          <t>Agreement signed</t>
        </is>
      </c>
      <c r="D3" s="3" t="inlineStr">
        <is>
          <t>Authority letter</t>
        </is>
      </c>
      <c r="E3" s="3" t="inlineStr">
        <is>
          <t>W-9 received</t>
        </is>
      </c>
      <c r="F3" s="3" t="inlineStr">
        <is>
          <t>W-9 DELETED</t>
        </is>
      </c>
      <c r="G3" s="3" t="inlineStr">
        <is>
          <t>COI</t>
        </is>
      </c>
      <c r="H3" s="3" t="inlineStr">
        <is>
          <t>Notice of assignment</t>
        </is>
      </c>
      <c r="I3" s="3" t="inlineStr">
        <is>
          <t>CDL</t>
        </is>
      </c>
      <c r="J3" s="3" t="inlineStr">
        <is>
          <t>Packet complete</t>
        </is>
      </c>
    </row>
    <row r="4">
      <c r="A4" s="4" t="inlineStr">
        <is>
          <t>Example Trucking LLC</t>
        </is>
      </c>
      <c r="B4" s="4" t="inlineStr">
        <is>
          <t>MC-123456</t>
        </is>
      </c>
      <c r="C4" s="5" t="n">
        <v>46287</v>
      </c>
      <c r="D4" s="4" t="inlineStr">
        <is>
          <t>Yes</t>
        </is>
      </c>
      <c r="E4" s="5" t="n">
        <v>46287</v>
      </c>
      <c r="F4" s="5" t="n"/>
      <c r="G4" s="4" t="inlineStr">
        <is>
          <t>Yes</t>
        </is>
      </c>
      <c r="H4" s="4" t="inlineStr">
        <is>
          <t>N/A</t>
        </is>
      </c>
      <c r="I4" s="4" t="inlineStr">
        <is>
          <t>Yes</t>
        </is>
      </c>
      <c r="J4" s="7">
        <f>IF(COUNTA(A4)=0,"",IF(COUNTIF(C4:I4,"")&gt;0,"No","Yes"))</f>
        <v/>
      </c>
    </row>
    <row r="5">
      <c r="A5" s="8" t="n"/>
      <c r="B5" s="8" t="n"/>
      <c r="C5" s="9" t="n"/>
      <c r="D5" s="8" t="n"/>
      <c r="E5" s="9" t="n"/>
      <c r="F5" s="9" t="n"/>
      <c r="G5" s="8" t="n"/>
      <c r="H5" s="8" t="n"/>
      <c r="I5" s="8" t="n"/>
      <c r="J5" s="13">
        <f>IF(COUNTA(A5)=0,"",IF(COUNTIF(C5:I5,"")&gt;0,"No","Yes"))</f>
        <v/>
      </c>
    </row>
    <row r="6">
      <c r="A6" s="8" t="n"/>
      <c r="B6" s="8" t="n"/>
      <c r="C6" s="9" t="n"/>
      <c r="D6" s="8" t="n"/>
      <c r="E6" s="9" t="n"/>
      <c r="F6" s="9" t="n"/>
      <c r="G6" s="8" t="n"/>
      <c r="H6" s="8" t="n"/>
      <c r="I6" s="8" t="n"/>
      <c r="J6" s="13">
        <f>IF(COUNTA(A6)=0,"",IF(COUNTIF(C6:I6,"")&gt;0,"No","Yes"))</f>
        <v/>
      </c>
    </row>
    <row r="7">
      <c r="A7" s="8" t="n"/>
      <c r="B7" s="8" t="n"/>
      <c r="C7" s="9" t="n"/>
      <c r="D7" s="8" t="n"/>
      <c r="E7" s="9" t="n"/>
      <c r="F7" s="9" t="n"/>
      <c r="G7" s="8" t="n"/>
      <c r="H7" s="8" t="n"/>
      <c r="I7" s="8" t="n"/>
      <c r="J7" s="13">
        <f>IF(COUNTA(A7)=0,"",IF(COUNTIF(C7:I7,"")&gt;0,"No","Yes"))</f>
        <v/>
      </c>
    </row>
    <row r="8">
      <c r="A8" s="8" t="n"/>
      <c r="B8" s="8" t="n"/>
      <c r="C8" s="9" t="n"/>
      <c r="D8" s="8" t="n"/>
      <c r="E8" s="9" t="n"/>
      <c r="F8" s="9" t="n"/>
      <c r="G8" s="8" t="n"/>
      <c r="H8" s="8" t="n"/>
      <c r="I8" s="8" t="n"/>
      <c r="J8" s="13">
        <f>IF(COUNTA(A8)=0,"",IF(COUNTIF(C8:I8,"")&gt;0,"No","Yes"))</f>
        <v/>
      </c>
    </row>
    <row r="9">
      <c r="A9" s="8" t="n"/>
      <c r="B9" s="8" t="n"/>
      <c r="C9" s="9" t="n"/>
      <c r="D9" s="8" t="n"/>
      <c r="E9" s="9" t="n"/>
      <c r="F9" s="9" t="n"/>
      <c r="G9" s="8" t="n"/>
      <c r="H9" s="8" t="n"/>
      <c r="I9" s="8" t="n"/>
      <c r="J9" s="13">
        <f>IF(COUNTA(A9)=0,"",IF(COUNTIF(C9:I9,"")&gt;0,"No","Yes"))</f>
        <v/>
      </c>
    </row>
    <row r="10">
      <c r="A10" s="8" t="n"/>
      <c r="B10" s="8" t="n"/>
      <c r="C10" s="9" t="n"/>
      <c r="D10" s="8" t="n"/>
      <c r="E10" s="9" t="n"/>
      <c r="F10" s="9" t="n"/>
      <c r="G10" s="8" t="n"/>
      <c r="H10" s="8" t="n"/>
      <c r="I10" s="8" t="n"/>
      <c r="J10" s="13">
        <f>IF(COUNTA(A10)=0,"",IF(COUNTIF(C10:I10,"")&gt;0,"No","Yes"))</f>
        <v/>
      </c>
    </row>
    <row r="11">
      <c r="A11" s="8" t="n"/>
      <c r="B11" s="8" t="n"/>
      <c r="C11" s="9" t="n"/>
      <c r="D11" s="8" t="n"/>
      <c r="E11" s="9" t="n"/>
      <c r="F11" s="9" t="n"/>
      <c r="G11" s="8" t="n"/>
      <c r="H11" s="8" t="n"/>
      <c r="I11" s="8" t="n"/>
      <c r="J11" s="13">
        <f>IF(COUNTA(A11)=0,"",IF(COUNTIF(C11:I11,"")&gt;0,"No","Yes"))</f>
        <v/>
      </c>
    </row>
    <row r="12">
      <c r="A12" s="8" t="n"/>
      <c r="B12" s="8" t="n"/>
      <c r="C12" s="9" t="n"/>
      <c r="D12" s="8" t="n"/>
      <c r="E12" s="9" t="n"/>
      <c r="F12" s="9" t="n"/>
      <c r="G12" s="8" t="n"/>
      <c r="H12" s="8" t="n"/>
      <c r="I12" s="8" t="n"/>
      <c r="J12" s="13">
        <f>IF(COUNTA(A12)=0,"",IF(COUNTIF(C12:I12,"")&gt;0,"No","Yes"))</f>
        <v/>
      </c>
    </row>
    <row r="13">
      <c r="A13" s="8" t="n"/>
      <c r="B13" s="8" t="n"/>
      <c r="C13" s="9" t="n"/>
      <c r="D13" s="8" t="n"/>
      <c r="E13" s="9" t="n"/>
      <c r="F13" s="9" t="n"/>
      <c r="G13" s="8" t="n"/>
      <c r="H13" s="8" t="n"/>
      <c r="I13" s="8" t="n"/>
      <c r="J13" s="13">
        <f>IF(COUNTA(A13)=0,"",IF(COUNTIF(C13:I13,"")&gt;0,"No","Yes"))</f>
        <v/>
      </c>
    </row>
    <row r="14">
      <c r="A14" s="8" t="n"/>
      <c r="B14" s="8" t="n"/>
      <c r="C14" s="9" t="n"/>
      <c r="D14" s="8" t="n"/>
      <c r="E14" s="9" t="n"/>
      <c r="F14" s="9" t="n"/>
      <c r="G14" s="8" t="n"/>
      <c r="H14" s="8" t="n"/>
      <c r="I14" s="8" t="n"/>
      <c r="J14" s="13">
        <f>IF(COUNTA(A14)=0,"",IF(COUNTIF(C14:I14,"")&gt;0,"No","Yes"))</f>
        <v/>
      </c>
    </row>
    <row r="15">
      <c r="A15" s="8" t="n"/>
      <c r="B15" s="8" t="n"/>
      <c r="C15" s="9" t="n"/>
      <c r="D15" s="8" t="n"/>
      <c r="E15" s="9" t="n"/>
      <c r="F15" s="9" t="n"/>
      <c r="G15" s="8" t="n"/>
      <c r="H15" s="8" t="n"/>
      <c r="I15" s="8" t="n"/>
      <c r="J15" s="13">
        <f>IF(COUNTA(A15)=0,"",IF(COUNTIF(C15:I15,"")&gt;0,"No","Yes"))</f>
        <v/>
      </c>
    </row>
    <row r="16">
      <c r="A16" s="8" t="n"/>
      <c r="B16" s="8" t="n"/>
      <c r="C16" s="9" t="n"/>
      <c r="D16" s="8" t="n"/>
      <c r="E16" s="9" t="n"/>
      <c r="F16" s="9" t="n"/>
      <c r="G16" s="8" t="n"/>
      <c r="H16" s="8" t="n"/>
      <c r="I16" s="8" t="n"/>
      <c r="J16" s="13">
        <f>IF(COUNTA(A16)=0,"",IF(COUNTIF(C16:I16,"")&gt;0,"No","Yes"))</f>
        <v/>
      </c>
    </row>
    <row r="17">
      <c r="A17" s="8" t="n"/>
      <c r="B17" s="8" t="n"/>
      <c r="C17" s="9" t="n"/>
      <c r="D17" s="8" t="n"/>
      <c r="E17" s="9" t="n"/>
      <c r="F17" s="9" t="n"/>
      <c r="G17" s="8" t="n"/>
      <c r="H17" s="8" t="n"/>
      <c r="I17" s="8" t="n"/>
      <c r="J17" s="13">
        <f>IF(COUNTA(A17)=0,"",IF(COUNTIF(C17:I17,"")&gt;0,"No","Yes"))</f>
        <v/>
      </c>
    </row>
    <row r="18">
      <c r="A18" s="8" t="n"/>
      <c r="B18" s="8" t="n"/>
      <c r="C18" s="9" t="n"/>
      <c r="D18" s="8" t="n"/>
      <c r="E18" s="9" t="n"/>
      <c r="F18" s="9" t="n"/>
      <c r="G18" s="8" t="n"/>
      <c r="H18" s="8" t="n"/>
      <c r="I18" s="8" t="n"/>
      <c r="J18" s="13">
        <f>IF(COUNTA(A18)=0,"",IF(COUNTIF(C18:I18,"")&gt;0,"No","Yes"))</f>
        <v/>
      </c>
    </row>
    <row r="19">
      <c r="A19" s="8" t="n"/>
      <c r="B19" s="8" t="n"/>
      <c r="C19" s="9" t="n"/>
      <c r="D19" s="8" t="n"/>
      <c r="E19" s="9" t="n"/>
      <c r="F19" s="9" t="n"/>
      <c r="G19" s="8" t="n"/>
      <c r="H19" s="8" t="n"/>
      <c r="I19" s="8" t="n"/>
      <c r="J19" s="13">
        <f>IF(COUNTA(A19)=0,"",IF(COUNTIF(C19:I19,"")&gt;0,"No","Yes"))</f>
        <v/>
      </c>
    </row>
    <row r="20">
      <c r="A20" s="8" t="n"/>
      <c r="B20" s="8" t="n"/>
      <c r="C20" s="9" t="n"/>
      <c r="D20" s="8" t="n"/>
      <c r="E20" s="9" t="n"/>
      <c r="F20" s="9" t="n"/>
      <c r="G20" s="8" t="n"/>
      <c r="H20" s="8" t="n"/>
      <c r="I20" s="8" t="n"/>
      <c r="J20" s="13">
        <f>IF(COUNTA(A20)=0,"",IF(COUNTIF(C20:I20,"")&gt;0,"No","Yes"))</f>
        <v/>
      </c>
    </row>
    <row r="21">
      <c r="A21" s="8" t="n"/>
      <c r="B21" s="8" t="n"/>
      <c r="C21" s="9" t="n"/>
      <c r="D21" s="8" t="n"/>
      <c r="E21" s="9" t="n"/>
      <c r="F21" s="9" t="n"/>
      <c r="G21" s="8" t="n"/>
      <c r="H21" s="8" t="n"/>
      <c r="I21" s="8" t="n"/>
      <c r="J21" s="13">
        <f>IF(COUNTA(A21)=0,"",IF(COUNTIF(C21:I21,"")&gt;0,"No","Yes"))</f>
        <v/>
      </c>
    </row>
    <row r="22">
      <c r="A22" s="8" t="n"/>
      <c r="B22" s="8" t="n"/>
      <c r="C22" s="9" t="n"/>
      <c r="D22" s="8" t="n"/>
      <c r="E22" s="9" t="n"/>
      <c r="F22" s="9" t="n"/>
      <c r="G22" s="8" t="n"/>
      <c r="H22" s="8" t="n"/>
      <c r="I22" s="8" t="n"/>
      <c r="J22" s="13">
        <f>IF(COUNTA(A22)=0,"",IF(COUNTIF(C22:I22,"")&gt;0,"No","Yes"))</f>
        <v/>
      </c>
    </row>
    <row r="23">
      <c r="A23" s="8" t="n"/>
      <c r="B23" s="8" t="n"/>
      <c r="C23" s="9" t="n"/>
      <c r="D23" s="8" t="n"/>
      <c r="E23" s="9" t="n"/>
      <c r="F23" s="9" t="n"/>
      <c r="G23" s="8" t="n"/>
      <c r="H23" s="8" t="n"/>
      <c r="I23" s="8" t="n"/>
      <c r="J23" s="13">
        <f>IF(COUNTA(A23)=0,"",IF(COUNTIF(C23:I23,"")&gt;0,"No","Yes"))</f>
        <v/>
      </c>
    </row>
    <row r="24">
      <c r="A24" s="8" t="n"/>
      <c r="B24" s="8" t="n"/>
      <c r="C24" s="9" t="n"/>
      <c r="D24" s="8" t="n"/>
      <c r="E24" s="9" t="n"/>
      <c r="F24" s="9" t="n"/>
      <c r="G24" s="8" t="n"/>
      <c r="H24" s="8" t="n"/>
      <c r="I24" s="8" t="n"/>
      <c r="J24" s="13">
        <f>IF(COUNTA(A24)=0,"",IF(COUNTIF(C24:I24,"")&gt;0,"No","Yes"))</f>
        <v/>
      </c>
    </row>
    <row r="25">
      <c r="A25" s="8" t="n"/>
      <c r="B25" s="8" t="n"/>
      <c r="C25" s="9" t="n"/>
      <c r="D25" s="8" t="n"/>
      <c r="E25" s="9" t="n"/>
      <c r="F25" s="9" t="n"/>
      <c r="G25" s="8" t="n"/>
      <c r="H25" s="8" t="n"/>
      <c r="I25" s="8" t="n"/>
      <c r="J25" s="13">
        <f>IF(COUNTA(A25)=0,"",IF(COUNTIF(C25:I25,"")&gt;0,"No","Yes"))</f>
        <v/>
      </c>
    </row>
    <row r="26">
      <c r="A26" s="8" t="n"/>
      <c r="B26" s="8" t="n"/>
      <c r="C26" s="9" t="n"/>
      <c r="D26" s="8" t="n"/>
      <c r="E26" s="9" t="n"/>
      <c r="F26" s="9" t="n"/>
      <c r="G26" s="8" t="n"/>
      <c r="H26" s="8" t="n"/>
      <c r="I26" s="8" t="n"/>
      <c r="J26" s="13">
        <f>IF(COUNTA(A26)=0,"",IF(COUNTIF(C26:I26,"")&gt;0,"No","Yes"))</f>
        <v/>
      </c>
    </row>
    <row r="27">
      <c r="A27" s="8" t="n"/>
      <c r="B27" s="8" t="n"/>
      <c r="C27" s="9" t="n"/>
      <c r="D27" s="8" t="n"/>
      <c r="E27" s="9" t="n"/>
      <c r="F27" s="9" t="n"/>
      <c r="G27" s="8" t="n"/>
      <c r="H27" s="8" t="n"/>
      <c r="I27" s="8" t="n"/>
      <c r="J27" s="13">
        <f>IF(COUNTA(A27)=0,"",IF(COUNTIF(C27:I27,"")&gt;0,"No","Yes"))</f>
        <v/>
      </c>
    </row>
    <row r="28">
      <c r="A28" s="8" t="n"/>
      <c r="B28" s="8" t="n"/>
      <c r="C28" s="9" t="n"/>
      <c r="D28" s="8" t="n"/>
      <c r="E28" s="9" t="n"/>
      <c r="F28" s="9" t="n"/>
      <c r="G28" s="8" t="n"/>
      <c r="H28" s="8" t="n"/>
      <c r="I28" s="8" t="n"/>
      <c r="J28" s="13">
        <f>IF(COUNTA(A28)=0,"",IF(COUNTIF(C28:I28,"")&gt;0,"No","Yes"))</f>
        <v/>
      </c>
    </row>
    <row r="29">
      <c r="A29" s="8" t="n"/>
      <c r="B29" s="8" t="n"/>
      <c r="C29" s="9" t="n"/>
      <c r="D29" s="8" t="n"/>
      <c r="E29" s="9" t="n"/>
      <c r="F29" s="9" t="n"/>
      <c r="G29" s="8" t="n"/>
      <c r="H29" s="8" t="n"/>
      <c r="I29" s="8" t="n"/>
      <c r="J29" s="13">
        <f>IF(COUNTA(A29)=0,"",IF(COUNTIF(C29:I29,"")&gt;0,"No","Yes"))</f>
        <v/>
      </c>
    </row>
    <row r="30">
      <c r="A30" s="8" t="n"/>
      <c r="B30" s="8" t="n"/>
      <c r="C30" s="9" t="n"/>
      <c r="D30" s="8" t="n"/>
      <c r="E30" s="9" t="n"/>
      <c r="F30" s="9" t="n"/>
      <c r="G30" s="8" t="n"/>
      <c r="H30" s="8" t="n"/>
      <c r="I30" s="8" t="n"/>
      <c r="J30" s="13">
        <f>IF(COUNTA(A30)=0,"",IF(COUNTIF(C30:I30,"")&gt;0,"No","Yes"))</f>
        <v/>
      </c>
    </row>
    <row r="31">
      <c r="A31" s="8" t="n"/>
      <c r="B31" s="8" t="n"/>
      <c r="C31" s="9" t="n"/>
      <c r="D31" s="8" t="n"/>
      <c r="E31" s="9" t="n"/>
      <c r="F31" s="9" t="n"/>
      <c r="G31" s="8" t="n"/>
      <c r="H31" s="8" t="n"/>
      <c r="I31" s="8" t="n"/>
      <c r="J31" s="13">
        <f>IF(COUNTA(A31)=0,"",IF(COUNTIF(C31:I31,"")&gt;0,"No","Yes"))</f>
        <v/>
      </c>
    </row>
    <row r="32">
      <c r="A32" s="8" t="n"/>
      <c r="B32" s="8" t="n"/>
      <c r="C32" s="9" t="n"/>
      <c r="D32" s="8" t="n"/>
      <c r="E32" s="9" t="n"/>
      <c r="F32" s="9" t="n"/>
      <c r="G32" s="8" t="n"/>
      <c r="H32" s="8" t="n"/>
      <c r="I32" s="8" t="n"/>
      <c r="J32" s="13">
        <f>IF(COUNTA(A32)=0,"",IF(COUNTIF(C32:I32,"")&gt;0,"No","Yes"))</f>
        <v/>
      </c>
    </row>
    <row r="33">
      <c r="A33" s="8" t="n"/>
      <c r="B33" s="8" t="n"/>
      <c r="C33" s="9" t="n"/>
      <c r="D33" s="8" t="n"/>
      <c r="E33" s="9" t="n"/>
      <c r="F33" s="9" t="n"/>
      <c r="G33" s="8" t="n"/>
      <c r="H33" s="8" t="n"/>
      <c r="I33" s="8" t="n"/>
      <c r="J33" s="13">
        <f>IF(COUNTA(A33)=0,"",IF(COUNTIF(C33:I33,"")&gt;0,"No","Yes"))</f>
        <v/>
      </c>
    </row>
    <row r="34">
      <c r="A34" s="8" t="n"/>
      <c r="B34" s="8" t="n"/>
      <c r="C34" s="9" t="n"/>
      <c r="D34" s="8" t="n"/>
      <c r="E34" s="9" t="n"/>
      <c r="F34" s="9" t="n"/>
      <c r="G34" s="8" t="n"/>
      <c r="H34" s="8" t="n"/>
      <c r="I34" s="8" t="n"/>
      <c r="J34" s="13">
        <f>IF(COUNTA(A34)=0,"",IF(COUNTIF(C34:I34,"")&gt;0,"No","Yes"))</f>
        <v/>
      </c>
    </row>
    <row r="35">
      <c r="A35" s="8" t="n"/>
      <c r="B35" s="8" t="n"/>
      <c r="C35" s="9" t="n"/>
      <c r="D35" s="8" t="n"/>
      <c r="E35" s="9" t="n"/>
      <c r="F35" s="9" t="n"/>
      <c r="G35" s="8" t="n"/>
      <c r="H35" s="8" t="n"/>
      <c r="I35" s="8" t="n"/>
      <c r="J35" s="13">
        <f>IF(COUNTA(A35)=0,"",IF(COUNTIF(C35:I35,"")&gt;0,"No","Yes"))</f>
        <v/>
      </c>
    </row>
    <row r="36">
      <c r="A36" s="8" t="n"/>
      <c r="B36" s="8" t="n"/>
      <c r="C36" s="9" t="n"/>
      <c r="D36" s="8" t="n"/>
      <c r="E36" s="9" t="n"/>
      <c r="F36" s="9" t="n"/>
      <c r="G36" s="8" t="n"/>
      <c r="H36" s="8" t="n"/>
      <c r="I36" s="8" t="n"/>
      <c r="J36" s="13">
        <f>IF(COUNTA(A36)=0,"",IF(COUNTIF(C36:I36,"")&gt;0,"No","Yes"))</f>
        <v/>
      </c>
    </row>
    <row r="37">
      <c r="A37" s="8" t="n"/>
      <c r="B37" s="8" t="n"/>
      <c r="C37" s="9" t="n"/>
      <c r="D37" s="8" t="n"/>
      <c r="E37" s="9" t="n"/>
      <c r="F37" s="9" t="n"/>
      <c r="G37" s="8" t="n"/>
      <c r="H37" s="8" t="n"/>
      <c r="I37" s="8" t="n"/>
      <c r="J37" s="13">
        <f>IF(COUNTA(A37)=0,"",IF(COUNTIF(C37:I37,"")&gt;0,"No","Yes"))</f>
        <v/>
      </c>
    </row>
    <row r="38">
      <c r="A38" s="8" t="n"/>
      <c r="B38" s="8" t="n"/>
      <c r="C38" s="9" t="n"/>
      <c r="D38" s="8" t="n"/>
      <c r="E38" s="9" t="n"/>
      <c r="F38" s="9" t="n"/>
      <c r="G38" s="8" t="n"/>
      <c r="H38" s="8" t="n"/>
      <c r="I38" s="8" t="n"/>
      <c r="J38" s="13">
        <f>IF(COUNTA(A38)=0,"",IF(COUNTIF(C38:I38,"")&gt;0,"No","Yes"))</f>
        <v/>
      </c>
    </row>
    <row r="39">
      <c r="A39" s="8" t="n"/>
      <c r="B39" s="8" t="n"/>
      <c r="C39" s="9" t="n"/>
      <c r="D39" s="8" t="n"/>
      <c r="E39" s="9" t="n"/>
      <c r="F39" s="9" t="n"/>
      <c r="G39" s="8" t="n"/>
      <c r="H39" s="8" t="n"/>
      <c r="I39" s="8" t="n"/>
      <c r="J39" s="13">
        <f>IF(COUNTA(A39)=0,"",IF(COUNTIF(C39:I39,"")&gt;0,"No","Yes"))</f>
        <v/>
      </c>
    </row>
    <row r="40">
      <c r="A40" s="8" t="n"/>
      <c r="B40" s="8" t="n"/>
      <c r="C40" s="9" t="n"/>
      <c r="D40" s="8" t="n"/>
      <c r="E40" s="9" t="n"/>
      <c r="F40" s="9" t="n"/>
      <c r="G40" s="8" t="n"/>
      <c r="H40" s="8" t="n"/>
      <c r="I40" s="8" t="n"/>
      <c r="J40" s="13">
        <f>IF(COUNTA(A40)=0,"",IF(COUNTIF(C40:I40,"")&gt;0,"No","Yes"))</f>
        <v/>
      </c>
    </row>
    <row r="41">
      <c r="A41" s="8" t="n"/>
      <c r="B41" s="8" t="n"/>
      <c r="C41" s="9" t="n"/>
      <c r="D41" s="8" t="n"/>
      <c r="E41" s="9" t="n"/>
      <c r="F41" s="9" t="n"/>
      <c r="G41" s="8" t="n"/>
      <c r="H41" s="8" t="n"/>
      <c r="I41" s="8" t="n"/>
      <c r="J41" s="13">
        <f>IF(COUNTA(A41)=0,"",IF(COUNTIF(C41:I41,"")&gt;0,"No","Yes"))</f>
        <v/>
      </c>
    </row>
    <row r="42">
      <c r="A42" s="8" t="n"/>
      <c r="B42" s="8" t="n"/>
      <c r="C42" s="9" t="n"/>
      <c r="D42" s="8" t="n"/>
      <c r="E42" s="9" t="n"/>
      <c r="F42" s="9" t="n"/>
      <c r="G42" s="8" t="n"/>
      <c r="H42" s="8" t="n"/>
      <c r="I42" s="8" t="n"/>
      <c r="J42" s="13">
        <f>IF(COUNTA(A42)=0,"",IF(COUNTIF(C42:I42,"")&gt;0,"No","Yes"))</f>
        <v/>
      </c>
    </row>
    <row r="43">
      <c r="A43" s="8" t="n"/>
      <c r="B43" s="8" t="n"/>
      <c r="C43" s="9" t="n"/>
      <c r="D43" s="8" t="n"/>
      <c r="E43" s="9" t="n"/>
      <c r="F43" s="9" t="n"/>
      <c r="G43" s="8" t="n"/>
      <c r="H43" s="8" t="n"/>
      <c r="I43" s="8" t="n"/>
      <c r="J43" s="13">
        <f>IF(COUNTA(A43)=0,"",IF(COUNTIF(C43:I43,"")&gt;0,"No","Yes"))</f>
        <v/>
      </c>
    </row>
    <row r="44">
      <c r="A44" s="8" t="n"/>
      <c r="B44" s="8" t="n"/>
      <c r="C44" s="9" t="n"/>
      <c r="D44" s="8" t="n"/>
      <c r="E44" s="9" t="n"/>
      <c r="F44" s="9" t="n"/>
      <c r="G44" s="8" t="n"/>
      <c r="H44" s="8" t="n"/>
      <c r="I44" s="8" t="n"/>
      <c r="J44" s="13">
        <f>IF(COUNTA(A44)=0,"",IF(COUNTIF(C44:I44,"")&gt;0,"No","Yes"))</f>
        <v/>
      </c>
    </row>
    <row r="45">
      <c r="A45" s="8" t="n"/>
      <c r="B45" s="8" t="n"/>
      <c r="C45" s="9" t="n"/>
      <c r="D45" s="8" t="n"/>
      <c r="E45" s="9" t="n"/>
      <c r="F45" s="9" t="n"/>
      <c r="G45" s="8" t="n"/>
      <c r="H45" s="8" t="n"/>
      <c r="I45" s="8" t="n"/>
      <c r="J45" s="13">
        <f>IF(COUNTA(A45)=0,"",IF(COUNTIF(C45:I45,"")&gt;0,"No","Yes"))</f>
        <v/>
      </c>
    </row>
    <row r="46">
      <c r="A46" s="8" t="n"/>
      <c r="B46" s="8" t="n"/>
      <c r="C46" s="9" t="n"/>
      <c r="D46" s="8" t="n"/>
      <c r="E46" s="9" t="n"/>
      <c r="F46" s="9" t="n"/>
      <c r="G46" s="8" t="n"/>
      <c r="H46" s="8" t="n"/>
      <c r="I46" s="8" t="n"/>
      <c r="J46" s="13">
        <f>IF(COUNTA(A46)=0,"",IF(COUNTIF(C46:I46,"")&gt;0,"No","Yes"))</f>
        <v/>
      </c>
    </row>
    <row r="47">
      <c r="A47" s="8" t="n"/>
      <c r="B47" s="8" t="n"/>
      <c r="C47" s="9" t="n"/>
      <c r="D47" s="8" t="n"/>
      <c r="E47" s="9" t="n"/>
      <c r="F47" s="9" t="n"/>
      <c r="G47" s="8" t="n"/>
      <c r="H47" s="8" t="n"/>
      <c r="I47" s="8" t="n"/>
      <c r="J47" s="13">
        <f>IF(COUNTA(A47)=0,"",IF(COUNTIF(C47:I47,"")&gt;0,"No","Yes"))</f>
        <v/>
      </c>
    </row>
    <row r="48">
      <c r="A48" s="8" t="n"/>
      <c r="B48" s="8" t="n"/>
      <c r="C48" s="9" t="n"/>
      <c r="D48" s="8" t="n"/>
      <c r="E48" s="9" t="n"/>
      <c r="F48" s="9" t="n"/>
      <c r="G48" s="8" t="n"/>
      <c r="H48" s="8" t="n"/>
      <c r="I48" s="8" t="n"/>
      <c r="J48" s="13">
        <f>IF(COUNTA(A48)=0,"",IF(COUNTIF(C48:I48,"")&gt;0,"No","Yes"))</f>
        <v/>
      </c>
    </row>
    <row r="49">
      <c r="A49" s="8" t="n"/>
      <c r="B49" s="8" t="n"/>
      <c r="C49" s="9" t="n"/>
      <c r="D49" s="8" t="n"/>
      <c r="E49" s="9" t="n"/>
      <c r="F49" s="9" t="n"/>
      <c r="G49" s="8" t="n"/>
      <c r="H49" s="8" t="n"/>
      <c r="I49" s="8" t="n"/>
      <c r="J49" s="13">
        <f>IF(COUNTA(A49)=0,"",IF(COUNTIF(C49:I49,"")&gt;0,"No","Yes"))</f>
        <v/>
      </c>
    </row>
    <row r="50">
      <c r="A50" s="8" t="n"/>
      <c r="B50" s="8" t="n"/>
      <c r="C50" s="9" t="n"/>
      <c r="D50" s="8" t="n"/>
      <c r="E50" s="9" t="n"/>
      <c r="F50" s="9" t="n"/>
      <c r="G50" s="8" t="n"/>
      <c r="H50" s="8" t="n"/>
      <c r="I50" s="8" t="n"/>
      <c r="J50" s="13">
        <f>IF(COUNTA(A50)=0,"",IF(COUNTIF(C50:I50,"")&gt;0,"No","Yes"))</f>
        <v/>
      </c>
    </row>
    <row r="51">
      <c r="A51" s="8" t="n"/>
      <c r="B51" s="8" t="n"/>
      <c r="C51" s="9" t="n"/>
      <c r="D51" s="8" t="n"/>
      <c r="E51" s="9" t="n"/>
      <c r="F51" s="9" t="n"/>
      <c r="G51" s="8" t="n"/>
      <c r="H51" s="8" t="n"/>
      <c r="I51" s="8" t="n"/>
      <c r="J51" s="13">
        <f>IF(COUNTA(A51)=0,"",IF(COUNTIF(C51:I51,"")&gt;0,"No","Yes"))</f>
        <v/>
      </c>
    </row>
    <row r="52">
      <c r="A52" s="8" t="n"/>
      <c r="B52" s="8" t="n"/>
      <c r="C52" s="9" t="n"/>
      <c r="D52" s="8" t="n"/>
      <c r="E52" s="9" t="n"/>
      <c r="F52" s="9" t="n"/>
      <c r="G52" s="8" t="n"/>
      <c r="H52" s="8" t="n"/>
      <c r="I52" s="8" t="n"/>
      <c r="J52" s="13">
        <f>IF(COUNTA(A52)=0,"",IF(COUNTIF(C52:I52,"")&gt;0,"No","Yes"))</f>
        <v/>
      </c>
    </row>
    <row r="53">
      <c r="A53" s="8" t="n"/>
      <c r="B53" s="8" t="n"/>
      <c r="C53" s="9" t="n"/>
      <c r="D53" s="8" t="n"/>
      <c r="E53" s="9" t="n"/>
      <c r="F53" s="9" t="n"/>
      <c r="G53" s="8" t="n"/>
      <c r="H53" s="8" t="n"/>
      <c r="I53" s="8" t="n"/>
      <c r="J53" s="13">
        <f>IF(COUNTA(A53)=0,"",IF(COUNTIF(C53:I53,"")&gt;0,"No","Yes"))</f>
        <v/>
      </c>
    </row>
    <row r="54">
      <c r="A54" s="8" t="n"/>
      <c r="B54" s="8" t="n"/>
      <c r="C54" s="9" t="n"/>
      <c r="D54" s="8" t="n"/>
      <c r="E54" s="9" t="n"/>
      <c r="F54" s="9" t="n"/>
      <c r="G54" s="8" t="n"/>
      <c r="H54" s="8" t="n"/>
      <c r="I54" s="8" t="n"/>
      <c r="J54" s="13">
        <f>IF(COUNTA(A54)=0,"",IF(COUNTIF(C54:I54,"")&gt;0,"No","Yes"))</f>
        <v/>
      </c>
    </row>
    <row r="55">
      <c r="A55" s="8" t="n"/>
      <c r="B55" s="8" t="n"/>
      <c r="C55" s="9" t="n"/>
      <c r="D55" s="8" t="n"/>
      <c r="E55" s="9" t="n"/>
      <c r="F55" s="9" t="n"/>
      <c r="G55" s="8" t="n"/>
      <c r="H55" s="8" t="n"/>
      <c r="I55" s="8" t="n"/>
      <c r="J55" s="13">
        <f>IF(COUNTA(A55)=0,"",IF(COUNTIF(C55:I55,"")&gt;0,"No","Yes"))</f>
        <v/>
      </c>
    </row>
    <row r="56">
      <c r="A56" s="8" t="n"/>
      <c r="B56" s="8" t="n"/>
      <c r="C56" s="9" t="n"/>
      <c r="D56" s="8" t="n"/>
      <c r="E56" s="9" t="n"/>
      <c r="F56" s="9" t="n"/>
      <c r="G56" s="8" t="n"/>
      <c r="H56" s="8" t="n"/>
      <c r="I56" s="8" t="n"/>
      <c r="J56" s="13">
        <f>IF(COUNTA(A56)=0,"",IF(COUNTIF(C56:I56,"")&gt;0,"No","Yes"))</f>
        <v/>
      </c>
    </row>
    <row r="57">
      <c r="A57" s="8" t="n"/>
      <c r="B57" s="8" t="n"/>
      <c r="C57" s="9" t="n"/>
      <c r="D57" s="8" t="n"/>
      <c r="E57" s="9" t="n"/>
      <c r="F57" s="9" t="n"/>
      <c r="G57" s="8" t="n"/>
      <c r="H57" s="8" t="n"/>
      <c r="I57" s="8" t="n"/>
      <c r="J57" s="13">
        <f>IF(COUNTA(A57)=0,"",IF(COUNTIF(C57:I57,"")&gt;0,"No","Yes"))</f>
        <v/>
      </c>
    </row>
    <row r="58">
      <c r="A58" s="8" t="n"/>
      <c r="B58" s="8" t="n"/>
      <c r="C58" s="9" t="n"/>
      <c r="D58" s="8" t="n"/>
      <c r="E58" s="9" t="n"/>
      <c r="F58" s="9" t="n"/>
      <c r="G58" s="8" t="n"/>
      <c r="H58" s="8" t="n"/>
      <c r="I58" s="8" t="n"/>
      <c r="J58" s="13">
        <f>IF(COUNTA(A58)=0,"",IF(COUNTIF(C58:I58,"")&gt;0,"No","Yes"))</f>
        <v/>
      </c>
    </row>
    <row r="59">
      <c r="A59" s="8" t="n"/>
      <c r="B59" s="8" t="n"/>
      <c r="C59" s="9" t="n"/>
      <c r="D59" s="8" t="n"/>
      <c r="E59" s="9" t="n"/>
      <c r="F59" s="9" t="n"/>
      <c r="G59" s="8" t="n"/>
      <c r="H59" s="8" t="n"/>
      <c r="I59" s="8" t="n"/>
      <c r="J59" s="13">
        <f>IF(COUNTA(A59)=0,"",IF(COUNTIF(C59:I59,"")&gt;0,"No","Yes"))</f>
        <v/>
      </c>
    </row>
    <row r="60">
      <c r="A60" s="8" t="n"/>
      <c r="B60" s="8" t="n"/>
      <c r="C60" s="9" t="n"/>
      <c r="D60" s="8" t="n"/>
      <c r="E60" s="9" t="n"/>
      <c r="F60" s="9" t="n"/>
      <c r="G60" s="8" t="n"/>
      <c r="H60" s="8" t="n"/>
      <c r="I60" s="8" t="n"/>
      <c r="J60" s="13">
        <f>IF(COUNTA(A60)=0,"",IF(COUNTIF(C60:I60,"")&gt;0,"No","Yes"))</f>
        <v/>
      </c>
    </row>
    <row r="61">
      <c r="A61" s="8" t="n"/>
      <c r="B61" s="8" t="n"/>
      <c r="C61" s="9" t="n"/>
      <c r="D61" s="8" t="n"/>
      <c r="E61" s="9" t="n"/>
      <c r="F61" s="9" t="n"/>
      <c r="G61" s="8" t="n"/>
      <c r="H61" s="8" t="n"/>
      <c r="I61" s="8" t="n"/>
      <c r="J61" s="13">
        <f>IF(COUNTA(A61)=0,"",IF(COUNTIF(C61:I61,"")&gt;0,"No","Yes"))</f>
        <v/>
      </c>
    </row>
    <row r="62">
      <c r="A62" s="8" t="n"/>
      <c r="B62" s="8" t="n"/>
      <c r="C62" s="9" t="n"/>
      <c r="D62" s="8" t="n"/>
      <c r="E62" s="9" t="n"/>
      <c r="F62" s="9" t="n"/>
      <c r="G62" s="8" t="n"/>
      <c r="H62" s="8" t="n"/>
      <c r="I62" s="8" t="n"/>
      <c r="J62" s="13">
        <f>IF(COUNTA(A62)=0,"",IF(COUNTIF(C62:I62,"")&gt;0,"No","Yes"))</f>
        <v/>
      </c>
    </row>
    <row r="63">
      <c r="A63" s="8" t="n"/>
      <c r="B63" s="8" t="n"/>
      <c r="C63" s="9" t="n"/>
      <c r="D63" s="8" t="n"/>
      <c r="E63" s="9" t="n"/>
      <c r="F63" s="9" t="n"/>
      <c r="G63" s="8" t="n"/>
      <c r="H63" s="8" t="n"/>
      <c r="I63" s="8" t="n"/>
      <c r="J63" s="13">
        <f>IF(COUNTA(A63)=0,"",IF(COUNTIF(C63:I63,"")&gt;0,"No","Yes"))</f>
        <v/>
      </c>
    </row>
  </sheetData>
  <conditionalFormatting sqref="F4:F63">
    <cfRule type="expression" priority="1" dxfId="4">
      <formula>AND($E4&lt;&gt;"",$F4="")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2" customWidth="1" min="3" max="3"/>
    <col width="18" customWidth="1" min="4" max="4"/>
    <col width="13" customWidth="1" min="5" max="5"/>
    <col width="14" customWidth="1" min="6" max="6"/>
    <col width="20" customWidth="1" min="7" max="7"/>
    <col width="30" customWidth="1" min="8" max="8"/>
  </cols>
  <sheetData>
    <row r="1">
      <c r="A1" s="1" t="inlineStr">
        <is>
          <t>STEADHAUL DISPATCH — BROKER SETUPS</t>
        </is>
      </c>
    </row>
    <row r="2">
      <c r="A2" s="2" t="inlineStr">
        <is>
          <t>Yellow cells are yours to fill in. Row 4 is an example — delete it once you have real carriers.</t>
        </is>
      </c>
    </row>
    <row r="3" ht="30" customHeight="1">
      <c r="A3" s="3" t="inlineStr">
        <is>
          <t>Carrier</t>
        </is>
      </c>
      <c r="B3" s="3" t="inlineStr">
        <is>
          <t>MC #</t>
        </is>
      </c>
      <c r="C3" s="3" t="inlineStr">
        <is>
          <t>Broker</t>
        </is>
      </c>
      <c r="D3" s="3" t="inlineStr">
        <is>
          <t>Portal</t>
        </is>
      </c>
      <c r="E3" s="3" t="inlineStr">
        <is>
          <t>Submitted</t>
        </is>
      </c>
      <c r="F3" s="3" t="inlineStr">
        <is>
          <t>Status</t>
        </is>
      </c>
      <c r="G3" s="3" t="inlineStr">
        <is>
          <t>Carrier ID / setup #</t>
        </is>
      </c>
      <c r="H3" s="3" t="inlineStr">
        <is>
          <t>Notes</t>
        </is>
      </c>
    </row>
    <row r="4">
      <c r="A4" s="4" t="inlineStr">
        <is>
          <t>Example Trucking LLC</t>
        </is>
      </c>
      <c r="B4" s="4" t="inlineStr">
        <is>
          <t>MC-123456</t>
        </is>
      </c>
      <c r="C4" s="4" t="inlineStr">
        <is>
          <t>Sample Broker</t>
        </is>
      </c>
      <c r="D4" s="4" t="inlineStr">
        <is>
          <t>RMIS</t>
        </is>
      </c>
      <c r="E4" s="5" t="n">
        <v>46287</v>
      </c>
      <c r="F4" s="4" t="inlineStr">
        <is>
          <t>Approved</t>
        </is>
      </c>
      <c r="G4" s="4" t="inlineStr">
        <is>
          <t>SAMPLE-001</t>
        </is>
      </c>
      <c r="H4" s="4" t="inlineStr">
        <is>
          <t>Delete this row</t>
        </is>
      </c>
    </row>
    <row r="5">
      <c r="A5" s="8" t="n"/>
      <c r="B5" s="8" t="n"/>
      <c r="C5" s="8" t="n"/>
      <c r="D5" s="8" t="n"/>
      <c r="E5" s="9" t="n"/>
      <c r="F5" s="8" t="n"/>
      <c r="G5" s="8" t="n"/>
      <c r="H5" s="8" t="n"/>
    </row>
    <row r="6">
      <c r="A6" s="8" t="n"/>
      <c r="B6" s="8" t="n"/>
      <c r="C6" s="8" t="n"/>
      <c r="D6" s="8" t="n"/>
      <c r="E6" s="9" t="n"/>
      <c r="F6" s="8" t="n"/>
      <c r="G6" s="8" t="n"/>
      <c r="H6" s="8" t="n"/>
    </row>
    <row r="7">
      <c r="A7" s="8" t="n"/>
      <c r="B7" s="8" t="n"/>
      <c r="C7" s="8" t="n"/>
      <c r="D7" s="8" t="n"/>
      <c r="E7" s="9" t="n"/>
      <c r="F7" s="8" t="n"/>
      <c r="G7" s="8" t="n"/>
      <c r="H7" s="8" t="n"/>
    </row>
    <row r="8">
      <c r="A8" s="8" t="n"/>
      <c r="B8" s="8" t="n"/>
      <c r="C8" s="8" t="n"/>
      <c r="D8" s="8" t="n"/>
      <c r="E8" s="9" t="n"/>
      <c r="F8" s="8" t="n"/>
      <c r="G8" s="8" t="n"/>
      <c r="H8" s="8" t="n"/>
    </row>
    <row r="9">
      <c r="A9" s="8" t="n"/>
      <c r="B9" s="8" t="n"/>
      <c r="C9" s="8" t="n"/>
      <c r="D9" s="8" t="n"/>
      <c r="E9" s="9" t="n"/>
      <c r="F9" s="8" t="n"/>
      <c r="G9" s="8" t="n"/>
      <c r="H9" s="8" t="n"/>
    </row>
    <row r="10">
      <c r="A10" s="8" t="n"/>
      <c r="B10" s="8" t="n"/>
      <c r="C10" s="8" t="n"/>
      <c r="D10" s="8" t="n"/>
      <c r="E10" s="9" t="n"/>
      <c r="F10" s="8" t="n"/>
      <c r="G10" s="8" t="n"/>
      <c r="H10" s="8" t="n"/>
    </row>
    <row r="11">
      <c r="A11" s="8" t="n"/>
      <c r="B11" s="8" t="n"/>
      <c r="C11" s="8" t="n"/>
      <c r="D11" s="8" t="n"/>
      <c r="E11" s="9" t="n"/>
      <c r="F11" s="8" t="n"/>
      <c r="G11" s="8" t="n"/>
      <c r="H11" s="8" t="n"/>
    </row>
    <row r="12">
      <c r="A12" s="8" t="n"/>
      <c r="B12" s="8" t="n"/>
      <c r="C12" s="8" t="n"/>
      <c r="D12" s="8" t="n"/>
      <c r="E12" s="9" t="n"/>
      <c r="F12" s="8" t="n"/>
      <c r="G12" s="8" t="n"/>
      <c r="H12" s="8" t="n"/>
    </row>
    <row r="13">
      <c r="A13" s="8" t="n"/>
      <c r="B13" s="8" t="n"/>
      <c r="C13" s="8" t="n"/>
      <c r="D13" s="8" t="n"/>
      <c r="E13" s="9" t="n"/>
      <c r="F13" s="8" t="n"/>
      <c r="G13" s="8" t="n"/>
      <c r="H13" s="8" t="n"/>
    </row>
    <row r="14">
      <c r="A14" s="8" t="n"/>
      <c r="B14" s="8" t="n"/>
      <c r="C14" s="8" t="n"/>
      <c r="D14" s="8" t="n"/>
      <c r="E14" s="9" t="n"/>
      <c r="F14" s="8" t="n"/>
      <c r="G14" s="8" t="n"/>
      <c r="H14" s="8" t="n"/>
    </row>
    <row r="15">
      <c r="A15" s="8" t="n"/>
      <c r="B15" s="8" t="n"/>
      <c r="C15" s="8" t="n"/>
      <c r="D15" s="8" t="n"/>
      <c r="E15" s="9" t="n"/>
      <c r="F15" s="8" t="n"/>
      <c r="G15" s="8" t="n"/>
      <c r="H15" s="8" t="n"/>
    </row>
    <row r="16">
      <c r="A16" s="8" t="n"/>
      <c r="B16" s="8" t="n"/>
      <c r="C16" s="8" t="n"/>
      <c r="D16" s="8" t="n"/>
      <c r="E16" s="9" t="n"/>
      <c r="F16" s="8" t="n"/>
      <c r="G16" s="8" t="n"/>
      <c r="H16" s="8" t="n"/>
    </row>
    <row r="17">
      <c r="A17" s="8" t="n"/>
      <c r="B17" s="8" t="n"/>
      <c r="C17" s="8" t="n"/>
      <c r="D17" s="8" t="n"/>
      <c r="E17" s="9" t="n"/>
      <c r="F17" s="8" t="n"/>
      <c r="G17" s="8" t="n"/>
      <c r="H17" s="8" t="n"/>
    </row>
    <row r="18">
      <c r="A18" s="8" t="n"/>
      <c r="B18" s="8" t="n"/>
      <c r="C18" s="8" t="n"/>
      <c r="D18" s="8" t="n"/>
      <c r="E18" s="9" t="n"/>
      <c r="F18" s="8" t="n"/>
      <c r="G18" s="8" t="n"/>
      <c r="H18" s="8" t="n"/>
    </row>
    <row r="19">
      <c r="A19" s="8" t="n"/>
      <c r="B19" s="8" t="n"/>
      <c r="C19" s="8" t="n"/>
      <c r="D19" s="8" t="n"/>
      <c r="E19" s="9" t="n"/>
      <c r="F19" s="8" t="n"/>
      <c r="G19" s="8" t="n"/>
      <c r="H19" s="8" t="n"/>
    </row>
    <row r="20">
      <c r="A20" s="8" t="n"/>
      <c r="B20" s="8" t="n"/>
      <c r="C20" s="8" t="n"/>
      <c r="D20" s="8" t="n"/>
      <c r="E20" s="9" t="n"/>
      <c r="F20" s="8" t="n"/>
      <c r="G20" s="8" t="n"/>
      <c r="H20" s="8" t="n"/>
    </row>
    <row r="21">
      <c r="A21" s="8" t="n"/>
      <c r="B21" s="8" t="n"/>
      <c r="C21" s="8" t="n"/>
      <c r="D21" s="8" t="n"/>
      <c r="E21" s="9" t="n"/>
      <c r="F21" s="8" t="n"/>
      <c r="G21" s="8" t="n"/>
      <c r="H21" s="8" t="n"/>
    </row>
    <row r="22">
      <c r="A22" s="8" t="n"/>
      <c r="B22" s="8" t="n"/>
      <c r="C22" s="8" t="n"/>
      <c r="D22" s="8" t="n"/>
      <c r="E22" s="9" t="n"/>
      <c r="F22" s="8" t="n"/>
      <c r="G22" s="8" t="n"/>
      <c r="H22" s="8" t="n"/>
    </row>
    <row r="23">
      <c r="A23" s="8" t="n"/>
      <c r="B23" s="8" t="n"/>
      <c r="C23" s="8" t="n"/>
      <c r="D23" s="8" t="n"/>
      <c r="E23" s="9" t="n"/>
      <c r="F23" s="8" t="n"/>
      <c r="G23" s="8" t="n"/>
      <c r="H23" s="8" t="n"/>
    </row>
    <row r="24">
      <c r="A24" s="8" t="n"/>
      <c r="B24" s="8" t="n"/>
      <c r="C24" s="8" t="n"/>
      <c r="D24" s="8" t="n"/>
      <c r="E24" s="9" t="n"/>
      <c r="F24" s="8" t="n"/>
      <c r="G24" s="8" t="n"/>
      <c r="H24" s="8" t="n"/>
    </row>
    <row r="25">
      <c r="A25" s="8" t="n"/>
      <c r="B25" s="8" t="n"/>
      <c r="C25" s="8" t="n"/>
      <c r="D25" s="8" t="n"/>
      <c r="E25" s="9" t="n"/>
      <c r="F25" s="8" t="n"/>
      <c r="G25" s="8" t="n"/>
      <c r="H25" s="8" t="n"/>
    </row>
    <row r="26">
      <c r="A26" s="8" t="n"/>
      <c r="B26" s="8" t="n"/>
      <c r="C26" s="8" t="n"/>
      <c r="D26" s="8" t="n"/>
      <c r="E26" s="9" t="n"/>
      <c r="F26" s="8" t="n"/>
      <c r="G26" s="8" t="n"/>
      <c r="H26" s="8" t="n"/>
    </row>
    <row r="27">
      <c r="A27" s="8" t="n"/>
      <c r="B27" s="8" t="n"/>
      <c r="C27" s="8" t="n"/>
      <c r="D27" s="8" t="n"/>
      <c r="E27" s="9" t="n"/>
      <c r="F27" s="8" t="n"/>
      <c r="G27" s="8" t="n"/>
      <c r="H27" s="8" t="n"/>
    </row>
    <row r="28">
      <c r="A28" s="8" t="n"/>
      <c r="B28" s="8" t="n"/>
      <c r="C28" s="8" t="n"/>
      <c r="D28" s="8" t="n"/>
      <c r="E28" s="9" t="n"/>
      <c r="F28" s="8" t="n"/>
      <c r="G28" s="8" t="n"/>
      <c r="H28" s="8" t="n"/>
    </row>
    <row r="29">
      <c r="A29" s="8" t="n"/>
      <c r="B29" s="8" t="n"/>
      <c r="C29" s="8" t="n"/>
      <c r="D29" s="8" t="n"/>
      <c r="E29" s="9" t="n"/>
      <c r="F29" s="8" t="n"/>
      <c r="G29" s="8" t="n"/>
      <c r="H29" s="8" t="n"/>
    </row>
    <row r="30">
      <c r="A30" s="8" t="n"/>
      <c r="B30" s="8" t="n"/>
      <c r="C30" s="8" t="n"/>
      <c r="D30" s="8" t="n"/>
      <c r="E30" s="9" t="n"/>
      <c r="F30" s="8" t="n"/>
      <c r="G30" s="8" t="n"/>
      <c r="H30" s="8" t="n"/>
    </row>
    <row r="31">
      <c r="A31" s="8" t="n"/>
      <c r="B31" s="8" t="n"/>
      <c r="C31" s="8" t="n"/>
      <c r="D31" s="8" t="n"/>
      <c r="E31" s="9" t="n"/>
      <c r="F31" s="8" t="n"/>
      <c r="G31" s="8" t="n"/>
      <c r="H31" s="8" t="n"/>
    </row>
    <row r="32">
      <c r="A32" s="8" t="n"/>
      <c r="B32" s="8" t="n"/>
      <c r="C32" s="8" t="n"/>
      <c r="D32" s="8" t="n"/>
      <c r="E32" s="9" t="n"/>
      <c r="F32" s="8" t="n"/>
      <c r="G32" s="8" t="n"/>
      <c r="H32" s="8" t="n"/>
    </row>
    <row r="33">
      <c r="A33" s="8" t="n"/>
      <c r="B33" s="8" t="n"/>
      <c r="C33" s="8" t="n"/>
      <c r="D33" s="8" t="n"/>
      <c r="E33" s="9" t="n"/>
      <c r="F33" s="8" t="n"/>
      <c r="G33" s="8" t="n"/>
      <c r="H33" s="8" t="n"/>
    </row>
    <row r="34">
      <c r="A34" s="8" t="n"/>
      <c r="B34" s="8" t="n"/>
      <c r="C34" s="8" t="n"/>
      <c r="D34" s="8" t="n"/>
      <c r="E34" s="9" t="n"/>
      <c r="F34" s="8" t="n"/>
      <c r="G34" s="8" t="n"/>
      <c r="H34" s="8" t="n"/>
    </row>
    <row r="35">
      <c r="A35" s="8" t="n"/>
      <c r="B35" s="8" t="n"/>
      <c r="C35" s="8" t="n"/>
      <c r="D35" s="8" t="n"/>
      <c r="E35" s="9" t="n"/>
      <c r="F35" s="8" t="n"/>
      <c r="G35" s="8" t="n"/>
      <c r="H35" s="8" t="n"/>
    </row>
    <row r="36">
      <c r="A36" s="8" t="n"/>
      <c r="B36" s="8" t="n"/>
      <c r="C36" s="8" t="n"/>
      <c r="D36" s="8" t="n"/>
      <c r="E36" s="9" t="n"/>
      <c r="F36" s="8" t="n"/>
      <c r="G36" s="8" t="n"/>
      <c r="H36" s="8" t="n"/>
    </row>
    <row r="37">
      <c r="A37" s="8" t="n"/>
      <c r="B37" s="8" t="n"/>
      <c r="C37" s="8" t="n"/>
      <c r="D37" s="8" t="n"/>
      <c r="E37" s="9" t="n"/>
      <c r="F37" s="8" t="n"/>
      <c r="G37" s="8" t="n"/>
      <c r="H37" s="8" t="n"/>
    </row>
    <row r="38">
      <c r="A38" s="8" t="n"/>
      <c r="B38" s="8" t="n"/>
      <c r="C38" s="8" t="n"/>
      <c r="D38" s="8" t="n"/>
      <c r="E38" s="9" t="n"/>
      <c r="F38" s="8" t="n"/>
      <c r="G38" s="8" t="n"/>
      <c r="H38" s="8" t="n"/>
    </row>
    <row r="39">
      <c r="A39" s="8" t="n"/>
      <c r="B39" s="8" t="n"/>
      <c r="C39" s="8" t="n"/>
      <c r="D39" s="8" t="n"/>
      <c r="E39" s="9" t="n"/>
      <c r="F39" s="8" t="n"/>
      <c r="G39" s="8" t="n"/>
      <c r="H39" s="8" t="n"/>
    </row>
    <row r="40">
      <c r="A40" s="8" t="n"/>
      <c r="B40" s="8" t="n"/>
      <c r="C40" s="8" t="n"/>
      <c r="D40" s="8" t="n"/>
      <c r="E40" s="9" t="n"/>
      <c r="F40" s="8" t="n"/>
      <c r="G40" s="8" t="n"/>
      <c r="H40" s="8" t="n"/>
    </row>
    <row r="41">
      <c r="A41" s="8" t="n"/>
      <c r="B41" s="8" t="n"/>
      <c r="C41" s="8" t="n"/>
      <c r="D41" s="8" t="n"/>
      <c r="E41" s="9" t="n"/>
      <c r="F41" s="8" t="n"/>
      <c r="G41" s="8" t="n"/>
      <c r="H41" s="8" t="n"/>
    </row>
    <row r="42">
      <c r="A42" s="8" t="n"/>
      <c r="B42" s="8" t="n"/>
      <c r="C42" s="8" t="n"/>
      <c r="D42" s="8" t="n"/>
      <c r="E42" s="9" t="n"/>
      <c r="F42" s="8" t="n"/>
      <c r="G42" s="8" t="n"/>
      <c r="H42" s="8" t="n"/>
    </row>
    <row r="43">
      <c r="A43" s="8" t="n"/>
      <c r="B43" s="8" t="n"/>
      <c r="C43" s="8" t="n"/>
      <c r="D43" s="8" t="n"/>
      <c r="E43" s="9" t="n"/>
      <c r="F43" s="8" t="n"/>
      <c r="G43" s="8" t="n"/>
      <c r="H43" s="8" t="n"/>
    </row>
    <row r="44">
      <c r="A44" s="8" t="n"/>
      <c r="B44" s="8" t="n"/>
      <c r="C44" s="8" t="n"/>
      <c r="D44" s="8" t="n"/>
      <c r="E44" s="9" t="n"/>
      <c r="F44" s="8" t="n"/>
      <c r="G44" s="8" t="n"/>
      <c r="H44" s="8" t="n"/>
    </row>
    <row r="45">
      <c r="A45" s="8" t="n"/>
      <c r="B45" s="8" t="n"/>
      <c r="C45" s="8" t="n"/>
      <c r="D45" s="8" t="n"/>
      <c r="E45" s="9" t="n"/>
      <c r="F45" s="8" t="n"/>
      <c r="G45" s="8" t="n"/>
      <c r="H45" s="8" t="n"/>
    </row>
    <row r="46">
      <c r="A46" s="8" t="n"/>
      <c r="B46" s="8" t="n"/>
      <c r="C46" s="8" t="n"/>
      <c r="D46" s="8" t="n"/>
      <c r="E46" s="9" t="n"/>
      <c r="F46" s="8" t="n"/>
      <c r="G46" s="8" t="n"/>
      <c r="H46" s="8" t="n"/>
    </row>
    <row r="47">
      <c r="A47" s="8" t="n"/>
      <c r="B47" s="8" t="n"/>
      <c r="C47" s="8" t="n"/>
      <c r="D47" s="8" t="n"/>
      <c r="E47" s="9" t="n"/>
      <c r="F47" s="8" t="n"/>
      <c r="G47" s="8" t="n"/>
      <c r="H47" s="8" t="n"/>
    </row>
    <row r="48">
      <c r="A48" s="8" t="n"/>
      <c r="B48" s="8" t="n"/>
      <c r="C48" s="8" t="n"/>
      <c r="D48" s="8" t="n"/>
      <c r="E48" s="9" t="n"/>
      <c r="F48" s="8" t="n"/>
      <c r="G48" s="8" t="n"/>
      <c r="H48" s="8" t="n"/>
    </row>
    <row r="49">
      <c r="A49" s="8" t="n"/>
      <c r="B49" s="8" t="n"/>
      <c r="C49" s="8" t="n"/>
      <c r="D49" s="8" t="n"/>
      <c r="E49" s="9" t="n"/>
      <c r="F49" s="8" t="n"/>
      <c r="G49" s="8" t="n"/>
      <c r="H49" s="8" t="n"/>
    </row>
    <row r="50">
      <c r="A50" s="8" t="n"/>
      <c r="B50" s="8" t="n"/>
      <c r="C50" s="8" t="n"/>
      <c r="D50" s="8" t="n"/>
      <c r="E50" s="9" t="n"/>
      <c r="F50" s="8" t="n"/>
      <c r="G50" s="8" t="n"/>
      <c r="H50" s="8" t="n"/>
    </row>
    <row r="51">
      <c r="A51" s="8" t="n"/>
      <c r="B51" s="8" t="n"/>
      <c r="C51" s="8" t="n"/>
      <c r="D51" s="8" t="n"/>
      <c r="E51" s="9" t="n"/>
      <c r="F51" s="8" t="n"/>
      <c r="G51" s="8" t="n"/>
      <c r="H51" s="8" t="n"/>
    </row>
    <row r="52">
      <c r="A52" s="8" t="n"/>
      <c r="B52" s="8" t="n"/>
      <c r="C52" s="8" t="n"/>
      <c r="D52" s="8" t="n"/>
      <c r="E52" s="9" t="n"/>
      <c r="F52" s="8" t="n"/>
      <c r="G52" s="8" t="n"/>
      <c r="H52" s="8" t="n"/>
    </row>
    <row r="53">
      <c r="A53" s="8" t="n"/>
      <c r="B53" s="8" t="n"/>
      <c r="C53" s="8" t="n"/>
      <c r="D53" s="8" t="n"/>
      <c r="E53" s="9" t="n"/>
      <c r="F53" s="8" t="n"/>
      <c r="G53" s="8" t="n"/>
      <c r="H53" s="8" t="n"/>
    </row>
    <row r="54">
      <c r="A54" s="8" t="n"/>
      <c r="B54" s="8" t="n"/>
      <c r="C54" s="8" t="n"/>
      <c r="D54" s="8" t="n"/>
      <c r="E54" s="9" t="n"/>
      <c r="F54" s="8" t="n"/>
      <c r="G54" s="8" t="n"/>
      <c r="H54" s="8" t="n"/>
    </row>
    <row r="55">
      <c r="A55" s="8" t="n"/>
      <c r="B55" s="8" t="n"/>
      <c r="C55" s="8" t="n"/>
      <c r="D55" s="8" t="n"/>
      <c r="E55" s="9" t="n"/>
      <c r="F55" s="8" t="n"/>
      <c r="G55" s="8" t="n"/>
      <c r="H55" s="8" t="n"/>
    </row>
    <row r="56">
      <c r="A56" s="8" t="n"/>
      <c r="B56" s="8" t="n"/>
      <c r="C56" s="8" t="n"/>
      <c r="D56" s="8" t="n"/>
      <c r="E56" s="9" t="n"/>
      <c r="F56" s="8" t="n"/>
      <c r="G56" s="8" t="n"/>
      <c r="H56" s="8" t="n"/>
    </row>
    <row r="57">
      <c r="A57" s="8" t="n"/>
      <c r="B57" s="8" t="n"/>
      <c r="C57" s="8" t="n"/>
      <c r="D57" s="8" t="n"/>
      <c r="E57" s="9" t="n"/>
      <c r="F57" s="8" t="n"/>
      <c r="G57" s="8" t="n"/>
      <c r="H57" s="8" t="n"/>
    </row>
    <row r="58">
      <c r="A58" s="8" t="n"/>
      <c r="B58" s="8" t="n"/>
      <c r="C58" s="8" t="n"/>
      <c r="D58" s="8" t="n"/>
      <c r="E58" s="9" t="n"/>
      <c r="F58" s="8" t="n"/>
      <c r="G58" s="8" t="n"/>
      <c r="H58" s="8" t="n"/>
    </row>
    <row r="59">
      <c r="A59" s="8" t="n"/>
      <c r="B59" s="8" t="n"/>
      <c r="C59" s="8" t="n"/>
      <c r="D59" s="8" t="n"/>
      <c r="E59" s="9" t="n"/>
      <c r="F59" s="8" t="n"/>
      <c r="G59" s="8" t="n"/>
      <c r="H59" s="8" t="n"/>
    </row>
    <row r="60">
      <c r="A60" s="8" t="n"/>
      <c r="B60" s="8" t="n"/>
      <c r="C60" s="8" t="n"/>
      <c r="D60" s="8" t="n"/>
      <c r="E60" s="9" t="n"/>
      <c r="F60" s="8" t="n"/>
      <c r="G60" s="8" t="n"/>
      <c r="H60" s="8" t="n"/>
    </row>
    <row r="61">
      <c r="A61" s="8" t="n"/>
      <c r="B61" s="8" t="n"/>
      <c r="C61" s="8" t="n"/>
      <c r="D61" s="8" t="n"/>
      <c r="E61" s="9" t="n"/>
      <c r="F61" s="8" t="n"/>
      <c r="G61" s="8" t="n"/>
      <c r="H61" s="8" t="n"/>
    </row>
    <row r="62">
      <c r="A62" s="8" t="n"/>
      <c r="B62" s="8" t="n"/>
      <c r="C62" s="8" t="n"/>
      <c r="D62" s="8" t="n"/>
      <c r="E62" s="9" t="n"/>
      <c r="F62" s="8" t="n"/>
      <c r="G62" s="8" t="n"/>
      <c r="H62" s="8" t="n"/>
    </row>
    <row r="63">
      <c r="A63" s="8" t="n"/>
      <c r="B63" s="8" t="n"/>
      <c r="C63" s="8" t="n"/>
      <c r="D63" s="8" t="n"/>
      <c r="E63" s="9" t="n"/>
      <c r="F63" s="8" t="n"/>
      <c r="G63" s="8" t="n"/>
      <c r="H63" s="8" t="n"/>
    </row>
  </sheetData>
  <dataValidations count="1">
    <dataValidation sqref="F4:F63" showDropDown="0" showInputMessage="0" showErrorMessage="0" allowBlank="1" type="list">
      <formula1>"Submitted,Pending,Approved,Rejected,Expired"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16" customWidth="1" min="4" max="4"/>
    <col width="38" customWidth="1" min="5" max="5"/>
    <col width="14" customWidth="1" min="6" max="6"/>
  </cols>
  <sheetData>
    <row r="1">
      <c r="A1" s="1" t="inlineStr">
        <is>
          <t>STEADHAUL DISPATCH — RETENTION LOG</t>
        </is>
      </c>
    </row>
    <row r="2">
      <c r="A2" s="2" t="inlineStr">
        <is>
          <t>California Civ. Code 1798.81 requires reasonable steps to dispose of records containing personal information. This log is how you show you did.</t>
        </is>
      </c>
    </row>
    <row r="3" ht="30" customHeight="1">
      <c r="A3" s="3" t="inlineStr">
        <is>
          <t>Date</t>
        </is>
      </c>
      <c r="B3" s="3" t="inlineStr">
        <is>
          <t>Carrier</t>
        </is>
      </c>
      <c r="C3" s="3" t="inlineStr">
        <is>
          <t>Document</t>
        </is>
      </c>
      <c r="D3" s="3" t="inlineStr">
        <is>
          <t>Action</t>
        </is>
      </c>
      <c r="E3" s="3" t="inlineStr">
        <is>
          <t>Where it went / was deleted from</t>
        </is>
      </c>
      <c r="F3" s="3" t="inlineStr">
        <is>
          <t>By</t>
        </is>
      </c>
    </row>
    <row r="4">
      <c r="A4" s="5" t="n">
        <v>46287</v>
      </c>
      <c r="B4" s="4" t="inlineStr">
        <is>
          <t>Example Trucking LLC</t>
        </is>
      </c>
      <c r="C4" s="4" t="inlineStr">
        <is>
          <t>W-9</t>
        </is>
      </c>
      <c r="D4" s="4" t="inlineStr">
        <is>
          <t>Deleted</t>
        </is>
      </c>
      <c r="E4" s="4" t="inlineStr">
        <is>
          <t>BoldSign envelope + Drive folder</t>
        </is>
      </c>
      <c r="F4" s="4" t="inlineStr">
        <is>
          <t>VS</t>
        </is>
      </c>
    </row>
    <row r="5">
      <c r="A5" s="9" t="n"/>
      <c r="B5" s="8" t="n"/>
      <c r="C5" s="8" t="n"/>
      <c r="D5" s="8" t="n"/>
      <c r="E5" s="8" t="n"/>
      <c r="F5" s="8" t="n"/>
    </row>
    <row r="6">
      <c r="A6" s="9" t="n"/>
      <c r="B6" s="8" t="n"/>
      <c r="C6" s="8" t="n"/>
      <c r="D6" s="8" t="n"/>
      <c r="E6" s="8" t="n"/>
      <c r="F6" s="8" t="n"/>
    </row>
    <row r="7">
      <c r="A7" s="9" t="n"/>
      <c r="B7" s="8" t="n"/>
      <c r="C7" s="8" t="n"/>
      <c r="D7" s="8" t="n"/>
      <c r="E7" s="8" t="n"/>
      <c r="F7" s="8" t="n"/>
    </row>
    <row r="8">
      <c r="A8" s="9" t="n"/>
      <c r="B8" s="8" t="n"/>
      <c r="C8" s="8" t="n"/>
      <c r="D8" s="8" t="n"/>
      <c r="E8" s="8" t="n"/>
      <c r="F8" s="8" t="n"/>
    </row>
    <row r="9">
      <c r="A9" s="9" t="n"/>
      <c r="B9" s="8" t="n"/>
      <c r="C9" s="8" t="n"/>
      <c r="D9" s="8" t="n"/>
      <c r="E9" s="8" t="n"/>
      <c r="F9" s="8" t="n"/>
    </row>
    <row r="10">
      <c r="A10" s="9" t="n"/>
      <c r="B10" s="8" t="n"/>
      <c r="C10" s="8" t="n"/>
      <c r="D10" s="8" t="n"/>
      <c r="E10" s="8" t="n"/>
      <c r="F10" s="8" t="n"/>
    </row>
    <row r="11">
      <c r="A11" s="9" t="n"/>
      <c r="B11" s="8" t="n"/>
      <c r="C11" s="8" t="n"/>
      <c r="D11" s="8" t="n"/>
      <c r="E11" s="8" t="n"/>
      <c r="F11" s="8" t="n"/>
    </row>
    <row r="12">
      <c r="A12" s="9" t="n"/>
      <c r="B12" s="8" t="n"/>
      <c r="C12" s="8" t="n"/>
      <c r="D12" s="8" t="n"/>
      <c r="E12" s="8" t="n"/>
      <c r="F12" s="8" t="n"/>
    </row>
    <row r="13">
      <c r="A13" s="9" t="n"/>
      <c r="B13" s="8" t="n"/>
      <c r="C13" s="8" t="n"/>
      <c r="D13" s="8" t="n"/>
      <c r="E13" s="8" t="n"/>
      <c r="F13" s="8" t="n"/>
    </row>
    <row r="14">
      <c r="A14" s="9" t="n"/>
      <c r="B14" s="8" t="n"/>
      <c r="C14" s="8" t="n"/>
      <c r="D14" s="8" t="n"/>
      <c r="E14" s="8" t="n"/>
      <c r="F14" s="8" t="n"/>
    </row>
    <row r="15">
      <c r="A15" s="9" t="n"/>
      <c r="B15" s="8" t="n"/>
      <c r="C15" s="8" t="n"/>
      <c r="D15" s="8" t="n"/>
      <c r="E15" s="8" t="n"/>
      <c r="F15" s="8" t="n"/>
    </row>
    <row r="16">
      <c r="A16" s="9" t="n"/>
      <c r="B16" s="8" t="n"/>
      <c r="C16" s="8" t="n"/>
      <c r="D16" s="8" t="n"/>
      <c r="E16" s="8" t="n"/>
      <c r="F16" s="8" t="n"/>
    </row>
    <row r="17">
      <c r="A17" s="9" t="n"/>
      <c r="B17" s="8" t="n"/>
      <c r="C17" s="8" t="n"/>
      <c r="D17" s="8" t="n"/>
      <c r="E17" s="8" t="n"/>
      <c r="F17" s="8" t="n"/>
    </row>
    <row r="18">
      <c r="A18" s="9" t="n"/>
      <c r="B18" s="8" t="n"/>
      <c r="C18" s="8" t="n"/>
      <c r="D18" s="8" t="n"/>
      <c r="E18" s="8" t="n"/>
      <c r="F18" s="8" t="n"/>
    </row>
    <row r="19">
      <c r="A19" s="9" t="n"/>
      <c r="B19" s="8" t="n"/>
      <c r="C19" s="8" t="n"/>
      <c r="D19" s="8" t="n"/>
      <c r="E19" s="8" t="n"/>
      <c r="F19" s="8" t="n"/>
    </row>
    <row r="20">
      <c r="A20" s="9" t="n"/>
      <c r="B20" s="8" t="n"/>
      <c r="C20" s="8" t="n"/>
      <c r="D20" s="8" t="n"/>
      <c r="E20" s="8" t="n"/>
      <c r="F20" s="8" t="n"/>
    </row>
    <row r="21">
      <c r="A21" s="9" t="n"/>
      <c r="B21" s="8" t="n"/>
      <c r="C21" s="8" t="n"/>
      <c r="D21" s="8" t="n"/>
      <c r="E21" s="8" t="n"/>
      <c r="F21" s="8" t="n"/>
    </row>
    <row r="22">
      <c r="A22" s="9" t="n"/>
      <c r="B22" s="8" t="n"/>
      <c r="C22" s="8" t="n"/>
      <c r="D22" s="8" t="n"/>
      <c r="E22" s="8" t="n"/>
      <c r="F22" s="8" t="n"/>
    </row>
    <row r="23">
      <c r="A23" s="9" t="n"/>
      <c r="B23" s="8" t="n"/>
      <c r="C23" s="8" t="n"/>
      <c r="D23" s="8" t="n"/>
      <c r="E23" s="8" t="n"/>
      <c r="F23" s="8" t="n"/>
    </row>
    <row r="24">
      <c r="A24" s="9" t="n"/>
      <c r="B24" s="8" t="n"/>
      <c r="C24" s="8" t="n"/>
      <c r="D24" s="8" t="n"/>
      <c r="E24" s="8" t="n"/>
      <c r="F24" s="8" t="n"/>
    </row>
    <row r="25">
      <c r="A25" s="9" t="n"/>
      <c r="B25" s="8" t="n"/>
      <c r="C25" s="8" t="n"/>
      <c r="D25" s="8" t="n"/>
      <c r="E25" s="8" t="n"/>
      <c r="F25" s="8" t="n"/>
    </row>
    <row r="26">
      <c r="A26" s="9" t="n"/>
      <c r="B26" s="8" t="n"/>
      <c r="C26" s="8" t="n"/>
      <c r="D26" s="8" t="n"/>
      <c r="E26" s="8" t="n"/>
      <c r="F26" s="8" t="n"/>
    </row>
    <row r="27">
      <c r="A27" s="9" t="n"/>
      <c r="B27" s="8" t="n"/>
      <c r="C27" s="8" t="n"/>
      <c r="D27" s="8" t="n"/>
      <c r="E27" s="8" t="n"/>
      <c r="F27" s="8" t="n"/>
    </row>
    <row r="28">
      <c r="A28" s="9" t="n"/>
      <c r="B28" s="8" t="n"/>
      <c r="C28" s="8" t="n"/>
      <c r="D28" s="8" t="n"/>
      <c r="E28" s="8" t="n"/>
      <c r="F28" s="8" t="n"/>
    </row>
    <row r="29">
      <c r="A29" s="9" t="n"/>
      <c r="B29" s="8" t="n"/>
      <c r="C29" s="8" t="n"/>
      <c r="D29" s="8" t="n"/>
      <c r="E29" s="8" t="n"/>
      <c r="F29" s="8" t="n"/>
    </row>
    <row r="30">
      <c r="A30" s="9" t="n"/>
      <c r="B30" s="8" t="n"/>
      <c r="C30" s="8" t="n"/>
      <c r="D30" s="8" t="n"/>
      <c r="E30" s="8" t="n"/>
      <c r="F30" s="8" t="n"/>
    </row>
    <row r="31">
      <c r="A31" s="9" t="n"/>
      <c r="B31" s="8" t="n"/>
      <c r="C31" s="8" t="n"/>
      <c r="D31" s="8" t="n"/>
      <c r="E31" s="8" t="n"/>
      <c r="F31" s="8" t="n"/>
    </row>
    <row r="32">
      <c r="A32" s="9" t="n"/>
      <c r="B32" s="8" t="n"/>
      <c r="C32" s="8" t="n"/>
      <c r="D32" s="8" t="n"/>
      <c r="E32" s="8" t="n"/>
      <c r="F32" s="8" t="n"/>
    </row>
    <row r="33">
      <c r="A33" s="9" t="n"/>
      <c r="B33" s="8" t="n"/>
      <c r="C33" s="8" t="n"/>
      <c r="D33" s="8" t="n"/>
      <c r="E33" s="8" t="n"/>
      <c r="F33" s="8" t="n"/>
    </row>
    <row r="34">
      <c r="A34" s="9" t="n"/>
      <c r="B34" s="8" t="n"/>
      <c r="C34" s="8" t="n"/>
      <c r="D34" s="8" t="n"/>
      <c r="E34" s="8" t="n"/>
      <c r="F34" s="8" t="n"/>
    </row>
    <row r="35">
      <c r="A35" s="9" t="n"/>
      <c r="B35" s="8" t="n"/>
      <c r="C35" s="8" t="n"/>
      <c r="D35" s="8" t="n"/>
      <c r="E35" s="8" t="n"/>
      <c r="F35" s="8" t="n"/>
    </row>
    <row r="36">
      <c r="A36" s="9" t="n"/>
      <c r="B36" s="8" t="n"/>
      <c r="C36" s="8" t="n"/>
      <c r="D36" s="8" t="n"/>
      <c r="E36" s="8" t="n"/>
      <c r="F36" s="8" t="n"/>
    </row>
    <row r="37">
      <c r="A37" s="9" t="n"/>
      <c r="B37" s="8" t="n"/>
      <c r="C37" s="8" t="n"/>
      <c r="D37" s="8" t="n"/>
      <c r="E37" s="8" t="n"/>
      <c r="F37" s="8" t="n"/>
    </row>
    <row r="38">
      <c r="A38" s="9" t="n"/>
      <c r="B38" s="8" t="n"/>
      <c r="C38" s="8" t="n"/>
      <c r="D38" s="8" t="n"/>
      <c r="E38" s="8" t="n"/>
      <c r="F38" s="8" t="n"/>
    </row>
    <row r="39">
      <c r="A39" s="9" t="n"/>
      <c r="B39" s="8" t="n"/>
      <c r="C39" s="8" t="n"/>
      <c r="D39" s="8" t="n"/>
      <c r="E39" s="8" t="n"/>
      <c r="F39" s="8" t="n"/>
    </row>
    <row r="40">
      <c r="A40" s="9" t="n"/>
      <c r="B40" s="8" t="n"/>
      <c r="C40" s="8" t="n"/>
      <c r="D40" s="8" t="n"/>
      <c r="E40" s="8" t="n"/>
      <c r="F40" s="8" t="n"/>
    </row>
    <row r="41">
      <c r="A41" s="9" t="n"/>
      <c r="B41" s="8" t="n"/>
      <c r="C41" s="8" t="n"/>
      <c r="D41" s="8" t="n"/>
      <c r="E41" s="8" t="n"/>
      <c r="F41" s="8" t="n"/>
    </row>
    <row r="42">
      <c r="A42" s="9" t="n"/>
      <c r="B42" s="8" t="n"/>
      <c r="C42" s="8" t="n"/>
      <c r="D42" s="8" t="n"/>
      <c r="E42" s="8" t="n"/>
      <c r="F42" s="8" t="n"/>
    </row>
    <row r="43">
      <c r="A43" s="9" t="n"/>
      <c r="B43" s="8" t="n"/>
      <c r="C43" s="8" t="n"/>
      <c r="D43" s="8" t="n"/>
      <c r="E43" s="8" t="n"/>
      <c r="F43" s="8" t="n"/>
    </row>
    <row r="44">
      <c r="A44" s="9" t="n"/>
      <c r="B44" s="8" t="n"/>
      <c r="C44" s="8" t="n"/>
      <c r="D44" s="8" t="n"/>
      <c r="E44" s="8" t="n"/>
      <c r="F44" s="8" t="n"/>
    </row>
    <row r="45">
      <c r="A45" s="9" t="n"/>
      <c r="B45" s="8" t="n"/>
      <c r="C45" s="8" t="n"/>
      <c r="D45" s="8" t="n"/>
      <c r="E45" s="8" t="n"/>
      <c r="F45" s="8" t="n"/>
    </row>
    <row r="46">
      <c r="A46" s="9" t="n"/>
      <c r="B46" s="8" t="n"/>
      <c r="C46" s="8" t="n"/>
      <c r="D46" s="8" t="n"/>
      <c r="E46" s="8" t="n"/>
      <c r="F46" s="8" t="n"/>
    </row>
    <row r="47">
      <c r="A47" s="9" t="n"/>
      <c r="B47" s="8" t="n"/>
      <c r="C47" s="8" t="n"/>
      <c r="D47" s="8" t="n"/>
      <c r="E47" s="8" t="n"/>
      <c r="F47" s="8" t="n"/>
    </row>
    <row r="48">
      <c r="A48" s="9" t="n"/>
      <c r="B48" s="8" t="n"/>
      <c r="C48" s="8" t="n"/>
      <c r="D48" s="8" t="n"/>
      <c r="E48" s="8" t="n"/>
      <c r="F48" s="8" t="n"/>
    </row>
    <row r="49">
      <c r="A49" s="9" t="n"/>
      <c r="B49" s="8" t="n"/>
      <c r="C49" s="8" t="n"/>
      <c r="D49" s="8" t="n"/>
      <c r="E49" s="8" t="n"/>
      <c r="F49" s="8" t="n"/>
    </row>
    <row r="50">
      <c r="A50" s="9" t="n"/>
      <c r="B50" s="8" t="n"/>
      <c r="C50" s="8" t="n"/>
      <c r="D50" s="8" t="n"/>
      <c r="E50" s="8" t="n"/>
      <c r="F50" s="8" t="n"/>
    </row>
    <row r="51">
      <c r="A51" s="9" t="n"/>
      <c r="B51" s="8" t="n"/>
      <c r="C51" s="8" t="n"/>
      <c r="D51" s="8" t="n"/>
      <c r="E51" s="8" t="n"/>
      <c r="F51" s="8" t="n"/>
    </row>
    <row r="52">
      <c r="A52" s="9" t="n"/>
      <c r="B52" s="8" t="n"/>
      <c r="C52" s="8" t="n"/>
      <c r="D52" s="8" t="n"/>
      <c r="E52" s="8" t="n"/>
      <c r="F52" s="8" t="n"/>
    </row>
    <row r="53">
      <c r="A53" s="9" t="n"/>
      <c r="B53" s="8" t="n"/>
      <c r="C53" s="8" t="n"/>
      <c r="D53" s="8" t="n"/>
      <c r="E53" s="8" t="n"/>
      <c r="F53" s="8" t="n"/>
    </row>
    <row r="54">
      <c r="A54" s="9" t="n"/>
      <c r="B54" s="8" t="n"/>
      <c r="C54" s="8" t="n"/>
      <c r="D54" s="8" t="n"/>
      <c r="E54" s="8" t="n"/>
      <c r="F54" s="8" t="n"/>
    </row>
    <row r="55">
      <c r="A55" s="9" t="n"/>
      <c r="B55" s="8" t="n"/>
      <c r="C55" s="8" t="n"/>
      <c r="D55" s="8" t="n"/>
      <c r="E55" s="8" t="n"/>
      <c r="F55" s="8" t="n"/>
    </row>
    <row r="56">
      <c r="A56" s="9" t="n"/>
      <c r="B56" s="8" t="n"/>
      <c r="C56" s="8" t="n"/>
      <c r="D56" s="8" t="n"/>
      <c r="E56" s="8" t="n"/>
      <c r="F56" s="8" t="n"/>
    </row>
    <row r="57">
      <c r="A57" s="9" t="n"/>
      <c r="B57" s="8" t="n"/>
      <c r="C57" s="8" t="n"/>
      <c r="D57" s="8" t="n"/>
      <c r="E57" s="8" t="n"/>
      <c r="F57" s="8" t="n"/>
    </row>
    <row r="58">
      <c r="A58" s="9" t="n"/>
      <c r="B58" s="8" t="n"/>
      <c r="C58" s="8" t="n"/>
      <c r="D58" s="8" t="n"/>
      <c r="E58" s="8" t="n"/>
      <c r="F58" s="8" t="n"/>
    </row>
    <row r="59">
      <c r="A59" s="9" t="n"/>
      <c r="B59" s="8" t="n"/>
      <c r="C59" s="8" t="n"/>
      <c r="D59" s="8" t="n"/>
      <c r="E59" s="8" t="n"/>
      <c r="F59" s="8" t="n"/>
    </row>
    <row r="60">
      <c r="A60" s="9" t="n"/>
      <c r="B60" s="8" t="n"/>
      <c r="C60" s="8" t="n"/>
      <c r="D60" s="8" t="n"/>
      <c r="E60" s="8" t="n"/>
      <c r="F60" s="8" t="n"/>
    </row>
    <row r="61">
      <c r="A61" s="9" t="n"/>
      <c r="B61" s="8" t="n"/>
      <c r="C61" s="8" t="n"/>
      <c r="D61" s="8" t="n"/>
      <c r="E61" s="8" t="n"/>
      <c r="F61" s="8" t="n"/>
    </row>
    <row r="62">
      <c r="A62" s="9" t="n"/>
      <c r="B62" s="8" t="n"/>
      <c r="C62" s="8" t="n"/>
      <c r="D62" s="8" t="n"/>
      <c r="E62" s="8" t="n"/>
      <c r="F62" s="8" t="n"/>
    </row>
    <row r="63">
      <c r="A63" s="9" t="n"/>
      <c r="B63" s="8" t="n"/>
      <c r="C63" s="8" t="n"/>
      <c r="D63" s="8" t="n"/>
      <c r="E63" s="8" t="n"/>
      <c r="F63" s="8" t="n"/>
    </row>
  </sheetData>
  <dataValidations count="1">
    <dataValidation sqref="D4:D63" showDropDown="0" showInputMessage="0" showErrorMessage="0" allowBlank="1" type="list">
      <formula1>"Received,Forwarded,Deleted"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3" customWidth="1" min="10" max="10"/>
    <col width="30" customWidth="1" min="11" max="11"/>
  </cols>
  <sheetData>
    <row r="1">
      <c r="A1" s="1" t="inlineStr">
        <is>
          <t>STEADHAUL DISPATCH — BROKERS</t>
        </is>
      </c>
    </row>
    <row r="2">
      <c r="A2" s="2" t="inlineStr">
        <is>
          <t>The site promises authority + $75K bond checked before EVERY booking. This is that record. Re-check anything older than 30 days before you book it again.</t>
        </is>
      </c>
    </row>
    <row r="3" ht="30" customHeight="1">
      <c r="A3" s="3" t="inlineStr">
        <is>
          <t>Broker</t>
        </is>
      </c>
      <c r="B3" s="3" t="inlineStr">
        <is>
          <t>MC / FF #</t>
        </is>
      </c>
      <c r="C3" s="3" t="inlineStr">
        <is>
          <t>Authority active</t>
        </is>
      </c>
      <c r="D3" s="3" t="inlineStr">
        <is>
          <t>Bond verified</t>
        </is>
      </c>
      <c r="E3" s="3" t="inlineStr">
        <is>
          <t>Bond amount</t>
        </is>
      </c>
      <c r="F3" s="3" t="inlineStr">
        <is>
          <t>Credit score</t>
        </is>
      </c>
      <c r="G3" s="3" t="inlineStr">
        <is>
          <t>Days to pay</t>
        </is>
      </c>
      <c r="H3" s="3" t="inlineStr">
        <is>
          <t>Last checked</t>
        </is>
      </c>
      <c r="I3" s="3" t="inlineStr">
        <is>
          <t>Days since check</t>
        </is>
      </c>
      <c r="J3" s="3" t="inlineStr">
        <is>
          <t>Status</t>
        </is>
      </c>
      <c r="K3" s="3" t="inlineStr">
        <is>
          <t>Notes</t>
        </is>
      </c>
    </row>
    <row r="4">
      <c r="A4" s="4" t="inlineStr">
        <is>
          <t>Example Broker Inc</t>
        </is>
      </c>
      <c r="B4" s="4" t="inlineStr">
        <is>
          <t>FF-123456</t>
        </is>
      </c>
      <c r="C4" s="4" t="inlineStr">
        <is>
          <t>Yes</t>
        </is>
      </c>
      <c r="D4" s="5" t="n">
        <v>46285</v>
      </c>
      <c r="E4" s="11" t="n">
        <v>75000</v>
      </c>
      <c r="F4" s="4" t="n">
        <v>92</v>
      </c>
      <c r="G4" s="4" t="n">
        <v>30</v>
      </c>
      <c r="H4" s="5" t="n">
        <v>46285</v>
      </c>
      <c r="I4" s="7">
        <f>IF(H4="","",TODAY()-H4)</f>
        <v/>
      </c>
      <c r="J4" s="4" t="inlineStr">
        <is>
          <t>Approved</t>
        </is>
      </c>
      <c r="K4" s="4" t="inlineStr">
        <is>
          <t>Delete this row</t>
        </is>
      </c>
    </row>
    <row r="5">
      <c r="A5" s="8" t="n"/>
      <c r="B5" s="8" t="n"/>
      <c r="C5" s="8" t="n"/>
      <c r="D5" s="9" t="n"/>
      <c r="E5" s="12" t="n"/>
      <c r="F5" s="8" t="n"/>
      <c r="G5" s="8" t="n"/>
      <c r="H5" s="9" t="n"/>
      <c r="I5" s="13">
        <f>IF(H5="","",TODAY()-H5)</f>
        <v/>
      </c>
      <c r="J5" s="8" t="n"/>
      <c r="K5" s="8" t="n"/>
    </row>
    <row r="6">
      <c r="A6" s="8" t="n"/>
      <c r="B6" s="8" t="n"/>
      <c r="C6" s="8" t="n"/>
      <c r="D6" s="9" t="n"/>
      <c r="E6" s="12" t="n"/>
      <c r="F6" s="8" t="n"/>
      <c r="G6" s="8" t="n"/>
      <c r="H6" s="9" t="n"/>
      <c r="I6" s="13">
        <f>IF(H6="","",TODAY()-H6)</f>
        <v/>
      </c>
      <c r="J6" s="8" t="n"/>
      <c r="K6" s="8" t="n"/>
    </row>
    <row r="7">
      <c r="A7" s="8" t="n"/>
      <c r="B7" s="8" t="n"/>
      <c r="C7" s="8" t="n"/>
      <c r="D7" s="9" t="n"/>
      <c r="E7" s="12" t="n"/>
      <c r="F7" s="8" t="n"/>
      <c r="G7" s="8" t="n"/>
      <c r="H7" s="9" t="n"/>
      <c r="I7" s="13">
        <f>IF(H7="","",TODAY()-H7)</f>
        <v/>
      </c>
      <c r="J7" s="8" t="n"/>
      <c r="K7" s="8" t="n"/>
    </row>
    <row r="8">
      <c r="A8" s="8" t="n"/>
      <c r="B8" s="8" t="n"/>
      <c r="C8" s="8" t="n"/>
      <c r="D8" s="9" t="n"/>
      <c r="E8" s="12" t="n"/>
      <c r="F8" s="8" t="n"/>
      <c r="G8" s="8" t="n"/>
      <c r="H8" s="9" t="n"/>
      <c r="I8" s="13">
        <f>IF(H8="","",TODAY()-H8)</f>
        <v/>
      </c>
      <c r="J8" s="8" t="n"/>
      <c r="K8" s="8" t="n"/>
    </row>
    <row r="9">
      <c r="A9" s="8" t="n"/>
      <c r="B9" s="8" t="n"/>
      <c r="C9" s="8" t="n"/>
      <c r="D9" s="9" t="n"/>
      <c r="E9" s="12" t="n"/>
      <c r="F9" s="8" t="n"/>
      <c r="G9" s="8" t="n"/>
      <c r="H9" s="9" t="n"/>
      <c r="I9" s="13">
        <f>IF(H9="","",TODAY()-H9)</f>
        <v/>
      </c>
      <c r="J9" s="8" t="n"/>
      <c r="K9" s="8" t="n"/>
    </row>
    <row r="10">
      <c r="A10" s="8" t="n"/>
      <c r="B10" s="8" t="n"/>
      <c r="C10" s="8" t="n"/>
      <c r="D10" s="9" t="n"/>
      <c r="E10" s="12" t="n"/>
      <c r="F10" s="8" t="n"/>
      <c r="G10" s="8" t="n"/>
      <c r="H10" s="9" t="n"/>
      <c r="I10" s="13">
        <f>IF(H10="","",TODAY()-H10)</f>
        <v/>
      </c>
      <c r="J10" s="8" t="n"/>
      <c r="K10" s="8" t="n"/>
    </row>
    <row r="11">
      <c r="A11" s="8" t="n"/>
      <c r="B11" s="8" t="n"/>
      <c r="C11" s="8" t="n"/>
      <c r="D11" s="9" t="n"/>
      <c r="E11" s="12" t="n"/>
      <c r="F11" s="8" t="n"/>
      <c r="G11" s="8" t="n"/>
      <c r="H11" s="9" t="n"/>
      <c r="I11" s="13">
        <f>IF(H11="","",TODAY()-H11)</f>
        <v/>
      </c>
      <c r="J11" s="8" t="n"/>
      <c r="K11" s="8" t="n"/>
    </row>
    <row r="12">
      <c r="A12" s="8" t="n"/>
      <c r="B12" s="8" t="n"/>
      <c r="C12" s="8" t="n"/>
      <c r="D12" s="9" t="n"/>
      <c r="E12" s="12" t="n"/>
      <c r="F12" s="8" t="n"/>
      <c r="G12" s="8" t="n"/>
      <c r="H12" s="9" t="n"/>
      <c r="I12" s="13">
        <f>IF(H12="","",TODAY()-H12)</f>
        <v/>
      </c>
      <c r="J12" s="8" t="n"/>
      <c r="K12" s="8" t="n"/>
    </row>
    <row r="13">
      <c r="A13" s="8" t="n"/>
      <c r="B13" s="8" t="n"/>
      <c r="C13" s="8" t="n"/>
      <c r="D13" s="9" t="n"/>
      <c r="E13" s="12" t="n"/>
      <c r="F13" s="8" t="n"/>
      <c r="G13" s="8" t="n"/>
      <c r="H13" s="9" t="n"/>
      <c r="I13" s="13">
        <f>IF(H13="","",TODAY()-H13)</f>
        <v/>
      </c>
      <c r="J13" s="8" t="n"/>
      <c r="K13" s="8" t="n"/>
    </row>
    <row r="14">
      <c r="A14" s="8" t="n"/>
      <c r="B14" s="8" t="n"/>
      <c r="C14" s="8" t="n"/>
      <c r="D14" s="9" t="n"/>
      <c r="E14" s="12" t="n"/>
      <c r="F14" s="8" t="n"/>
      <c r="G14" s="8" t="n"/>
      <c r="H14" s="9" t="n"/>
      <c r="I14" s="13">
        <f>IF(H14="","",TODAY()-H14)</f>
        <v/>
      </c>
      <c r="J14" s="8" t="n"/>
      <c r="K14" s="8" t="n"/>
    </row>
    <row r="15">
      <c r="A15" s="8" t="n"/>
      <c r="B15" s="8" t="n"/>
      <c r="C15" s="8" t="n"/>
      <c r="D15" s="9" t="n"/>
      <c r="E15" s="12" t="n"/>
      <c r="F15" s="8" t="n"/>
      <c r="G15" s="8" t="n"/>
      <c r="H15" s="9" t="n"/>
      <c r="I15" s="13">
        <f>IF(H15="","",TODAY()-H15)</f>
        <v/>
      </c>
      <c r="J15" s="8" t="n"/>
      <c r="K15" s="8" t="n"/>
    </row>
    <row r="16">
      <c r="A16" s="8" t="n"/>
      <c r="B16" s="8" t="n"/>
      <c r="C16" s="8" t="n"/>
      <c r="D16" s="9" t="n"/>
      <c r="E16" s="12" t="n"/>
      <c r="F16" s="8" t="n"/>
      <c r="G16" s="8" t="n"/>
      <c r="H16" s="9" t="n"/>
      <c r="I16" s="13">
        <f>IF(H16="","",TODAY()-H16)</f>
        <v/>
      </c>
      <c r="J16" s="8" t="n"/>
      <c r="K16" s="8" t="n"/>
    </row>
    <row r="17">
      <c r="A17" s="8" t="n"/>
      <c r="B17" s="8" t="n"/>
      <c r="C17" s="8" t="n"/>
      <c r="D17" s="9" t="n"/>
      <c r="E17" s="12" t="n"/>
      <c r="F17" s="8" t="n"/>
      <c r="G17" s="8" t="n"/>
      <c r="H17" s="9" t="n"/>
      <c r="I17" s="13">
        <f>IF(H17="","",TODAY()-H17)</f>
        <v/>
      </c>
      <c r="J17" s="8" t="n"/>
      <c r="K17" s="8" t="n"/>
    </row>
    <row r="18">
      <c r="A18" s="8" t="n"/>
      <c r="B18" s="8" t="n"/>
      <c r="C18" s="8" t="n"/>
      <c r="D18" s="9" t="n"/>
      <c r="E18" s="12" t="n"/>
      <c r="F18" s="8" t="n"/>
      <c r="G18" s="8" t="n"/>
      <c r="H18" s="9" t="n"/>
      <c r="I18" s="13">
        <f>IF(H18="","",TODAY()-H18)</f>
        <v/>
      </c>
      <c r="J18" s="8" t="n"/>
      <c r="K18" s="8" t="n"/>
    </row>
    <row r="19">
      <c r="A19" s="8" t="n"/>
      <c r="B19" s="8" t="n"/>
      <c r="C19" s="8" t="n"/>
      <c r="D19" s="9" t="n"/>
      <c r="E19" s="12" t="n"/>
      <c r="F19" s="8" t="n"/>
      <c r="G19" s="8" t="n"/>
      <c r="H19" s="9" t="n"/>
      <c r="I19" s="13">
        <f>IF(H19="","",TODAY()-H19)</f>
        <v/>
      </c>
      <c r="J19" s="8" t="n"/>
      <c r="K19" s="8" t="n"/>
    </row>
    <row r="20">
      <c r="A20" s="8" t="n"/>
      <c r="B20" s="8" t="n"/>
      <c r="C20" s="8" t="n"/>
      <c r="D20" s="9" t="n"/>
      <c r="E20" s="12" t="n"/>
      <c r="F20" s="8" t="n"/>
      <c r="G20" s="8" t="n"/>
      <c r="H20" s="9" t="n"/>
      <c r="I20" s="13">
        <f>IF(H20="","",TODAY()-H20)</f>
        <v/>
      </c>
      <c r="J20" s="8" t="n"/>
      <c r="K20" s="8" t="n"/>
    </row>
    <row r="21">
      <c r="A21" s="8" t="n"/>
      <c r="B21" s="8" t="n"/>
      <c r="C21" s="8" t="n"/>
      <c r="D21" s="9" t="n"/>
      <c r="E21" s="12" t="n"/>
      <c r="F21" s="8" t="n"/>
      <c r="G21" s="8" t="n"/>
      <c r="H21" s="9" t="n"/>
      <c r="I21" s="13">
        <f>IF(H21="","",TODAY()-H21)</f>
        <v/>
      </c>
      <c r="J21" s="8" t="n"/>
      <c r="K21" s="8" t="n"/>
    </row>
    <row r="22">
      <c r="A22" s="8" t="n"/>
      <c r="B22" s="8" t="n"/>
      <c r="C22" s="8" t="n"/>
      <c r="D22" s="9" t="n"/>
      <c r="E22" s="12" t="n"/>
      <c r="F22" s="8" t="n"/>
      <c r="G22" s="8" t="n"/>
      <c r="H22" s="9" t="n"/>
      <c r="I22" s="13">
        <f>IF(H22="","",TODAY()-H22)</f>
        <v/>
      </c>
      <c r="J22" s="8" t="n"/>
      <c r="K22" s="8" t="n"/>
    </row>
    <row r="23">
      <c r="A23" s="8" t="n"/>
      <c r="B23" s="8" t="n"/>
      <c r="C23" s="8" t="n"/>
      <c r="D23" s="9" t="n"/>
      <c r="E23" s="12" t="n"/>
      <c r="F23" s="8" t="n"/>
      <c r="G23" s="8" t="n"/>
      <c r="H23" s="9" t="n"/>
      <c r="I23" s="13">
        <f>IF(H23="","",TODAY()-H23)</f>
        <v/>
      </c>
      <c r="J23" s="8" t="n"/>
      <c r="K23" s="8" t="n"/>
    </row>
    <row r="24">
      <c r="A24" s="8" t="n"/>
      <c r="B24" s="8" t="n"/>
      <c r="C24" s="8" t="n"/>
      <c r="D24" s="9" t="n"/>
      <c r="E24" s="12" t="n"/>
      <c r="F24" s="8" t="n"/>
      <c r="G24" s="8" t="n"/>
      <c r="H24" s="9" t="n"/>
      <c r="I24" s="13">
        <f>IF(H24="","",TODAY()-H24)</f>
        <v/>
      </c>
      <c r="J24" s="8" t="n"/>
      <c r="K24" s="8" t="n"/>
    </row>
    <row r="25">
      <c r="A25" s="8" t="n"/>
      <c r="B25" s="8" t="n"/>
      <c r="C25" s="8" t="n"/>
      <c r="D25" s="9" t="n"/>
      <c r="E25" s="12" t="n"/>
      <c r="F25" s="8" t="n"/>
      <c r="G25" s="8" t="n"/>
      <c r="H25" s="9" t="n"/>
      <c r="I25" s="13">
        <f>IF(H25="","",TODAY()-H25)</f>
        <v/>
      </c>
      <c r="J25" s="8" t="n"/>
      <c r="K25" s="8" t="n"/>
    </row>
    <row r="26">
      <c r="A26" s="8" t="n"/>
      <c r="B26" s="8" t="n"/>
      <c r="C26" s="8" t="n"/>
      <c r="D26" s="9" t="n"/>
      <c r="E26" s="12" t="n"/>
      <c r="F26" s="8" t="n"/>
      <c r="G26" s="8" t="n"/>
      <c r="H26" s="9" t="n"/>
      <c r="I26" s="13">
        <f>IF(H26="","",TODAY()-H26)</f>
        <v/>
      </c>
      <c r="J26" s="8" t="n"/>
      <c r="K26" s="8" t="n"/>
    </row>
    <row r="27">
      <c r="A27" s="8" t="n"/>
      <c r="B27" s="8" t="n"/>
      <c r="C27" s="8" t="n"/>
      <c r="D27" s="9" t="n"/>
      <c r="E27" s="12" t="n"/>
      <c r="F27" s="8" t="n"/>
      <c r="G27" s="8" t="n"/>
      <c r="H27" s="9" t="n"/>
      <c r="I27" s="13">
        <f>IF(H27="","",TODAY()-H27)</f>
        <v/>
      </c>
      <c r="J27" s="8" t="n"/>
      <c r="K27" s="8" t="n"/>
    </row>
    <row r="28">
      <c r="A28" s="8" t="n"/>
      <c r="B28" s="8" t="n"/>
      <c r="C28" s="8" t="n"/>
      <c r="D28" s="9" t="n"/>
      <c r="E28" s="12" t="n"/>
      <c r="F28" s="8" t="n"/>
      <c r="G28" s="8" t="n"/>
      <c r="H28" s="9" t="n"/>
      <c r="I28" s="13">
        <f>IF(H28="","",TODAY()-H28)</f>
        <v/>
      </c>
      <c r="J28" s="8" t="n"/>
      <c r="K28" s="8" t="n"/>
    </row>
    <row r="29">
      <c r="A29" s="8" t="n"/>
      <c r="B29" s="8" t="n"/>
      <c r="C29" s="8" t="n"/>
      <c r="D29" s="9" t="n"/>
      <c r="E29" s="12" t="n"/>
      <c r="F29" s="8" t="n"/>
      <c r="G29" s="8" t="n"/>
      <c r="H29" s="9" t="n"/>
      <c r="I29" s="13">
        <f>IF(H29="","",TODAY()-H29)</f>
        <v/>
      </c>
      <c r="J29" s="8" t="n"/>
      <c r="K29" s="8" t="n"/>
    </row>
    <row r="30">
      <c r="A30" s="8" t="n"/>
      <c r="B30" s="8" t="n"/>
      <c r="C30" s="8" t="n"/>
      <c r="D30" s="9" t="n"/>
      <c r="E30" s="12" t="n"/>
      <c r="F30" s="8" t="n"/>
      <c r="G30" s="8" t="n"/>
      <c r="H30" s="9" t="n"/>
      <c r="I30" s="13">
        <f>IF(H30="","",TODAY()-H30)</f>
        <v/>
      </c>
      <c r="J30" s="8" t="n"/>
      <c r="K30" s="8" t="n"/>
    </row>
    <row r="31">
      <c r="A31" s="8" t="n"/>
      <c r="B31" s="8" t="n"/>
      <c r="C31" s="8" t="n"/>
      <c r="D31" s="9" t="n"/>
      <c r="E31" s="12" t="n"/>
      <c r="F31" s="8" t="n"/>
      <c r="G31" s="8" t="n"/>
      <c r="H31" s="9" t="n"/>
      <c r="I31" s="13">
        <f>IF(H31="","",TODAY()-H31)</f>
        <v/>
      </c>
      <c r="J31" s="8" t="n"/>
      <c r="K31" s="8" t="n"/>
    </row>
    <row r="32">
      <c r="A32" s="8" t="n"/>
      <c r="B32" s="8" t="n"/>
      <c r="C32" s="8" t="n"/>
      <c r="D32" s="9" t="n"/>
      <c r="E32" s="12" t="n"/>
      <c r="F32" s="8" t="n"/>
      <c r="G32" s="8" t="n"/>
      <c r="H32" s="9" t="n"/>
      <c r="I32" s="13">
        <f>IF(H32="","",TODAY()-H32)</f>
        <v/>
      </c>
      <c r="J32" s="8" t="n"/>
      <c r="K32" s="8" t="n"/>
    </row>
    <row r="33">
      <c r="A33" s="8" t="n"/>
      <c r="B33" s="8" t="n"/>
      <c r="C33" s="8" t="n"/>
      <c r="D33" s="9" t="n"/>
      <c r="E33" s="12" t="n"/>
      <c r="F33" s="8" t="n"/>
      <c r="G33" s="8" t="n"/>
      <c r="H33" s="9" t="n"/>
      <c r="I33" s="13">
        <f>IF(H33="","",TODAY()-H33)</f>
        <v/>
      </c>
      <c r="J33" s="8" t="n"/>
      <c r="K33" s="8" t="n"/>
    </row>
    <row r="34">
      <c r="A34" s="8" t="n"/>
      <c r="B34" s="8" t="n"/>
      <c r="C34" s="8" t="n"/>
      <c r="D34" s="9" t="n"/>
      <c r="E34" s="12" t="n"/>
      <c r="F34" s="8" t="n"/>
      <c r="G34" s="8" t="n"/>
      <c r="H34" s="9" t="n"/>
      <c r="I34" s="13">
        <f>IF(H34="","",TODAY()-H34)</f>
        <v/>
      </c>
      <c r="J34" s="8" t="n"/>
      <c r="K34" s="8" t="n"/>
    </row>
    <row r="35">
      <c r="A35" s="8" t="n"/>
      <c r="B35" s="8" t="n"/>
      <c r="C35" s="8" t="n"/>
      <c r="D35" s="9" t="n"/>
      <c r="E35" s="12" t="n"/>
      <c r="F35" s="8" t="n"/>
      <c r="G35" s="8" t="n"/>
      <c r="H35" s="9" t="n"/>
      <c r="I35" s="13">
        <f>IF(H35="","",TODAY()-H35)</f>
        <v/>
      </c>
      <c r="J35" s="8" t="n"/>
      <c r="K35" s="8" t="n"/>
    </row>
    <row r="36">
      <c r="A36" s="8" t="n"/>
      <c r="B36" s="8" t="n"/>
      <c r="C36" s="8" t="n"/>
      <c r="D36" s="9" t="n"/>
      <c r="E36" s="12" t="n"/>
      <c r="F36" s="8" t="n"/>
      <c r="G36" s="8" t="n"/>
      <c r="H36" s="9" t="n"/>
      <c r="I36" s="13">
        <f>IF(H36="","",TODAY()-H36)</f>
        <v/>
      </c>
      <c r="J36" s="8" t="n"/>
      <c r="K36" s="8" t="n"/>
    </row>
    <row r="37">
      <c r="A37" s="8" t="n"/>
      <c r="B37" s="8" t="n"/>
      <c r="C37" s="8" t="n"/>
      <c r="D37" s="9" t="n"/>
      <c r="E37" s="12" t="n"/>
      <c r="F37" s="8" t="n"/>
      <c r="G37" s="8" t="n"/>
      <c r="H37" s="9" t="n"/>
      <c r="I37" s="13">
        <f>IF(H37="","",TODAY()-H37)</f>
        <v/>
      </c>
      <c r="J37" s="8" t="n"/>
      <c r="K37" s="8" t="n"/>
    </row>
    <row r="38">
      <c r="A38" s="8" t="n"/>
      <c r="B38" s="8" t="n"/>
      <c r="C38" s="8" t="n"/>
      <c r="D38" s="9" t="n"/>
      <c r="E38" s="12" t="n"/>
      <c r="F38" s="8" t="n"/>
      <c r="G38" s="8" t="n"/>
      <c r="H38" s="9" t="n"/>
      <c r="I38" s="13">
        <f>IF(H38="","",TODAY()-H38)</f>
        <v/>
      </c>
      <c r="J38" s="8" t="n"/>
      <c r="K38" s="8" t="n"/>
    </row>
    <row r="39">
      <c r="A39" s="8" t="n"/>
      <c r="B39" s="8" t="n"/>
      <c r="C39" s="8" t="n"/>
      <c r="D39" s="9" t="n"/>
      <c r="E39" s="12" t="n"/>
      <c r="F39" s="8" t="n"/>
      <c r="G39" s="8" t="n"/>
      <c r="H39" s="9" t="n"/>
      <c r="I39" s="13">
        <f>IF(H39="","",TODAY()-H39)</f>
        <v/>
      </c>
      <c r="J39" s="8" t="n"/>
      <c r="K39" s="8" t="n"/>
    </row>
    <row r="40">
      <c r="A40" s="8" t="n"/>
      <c r="B40" s="8" t="n"/>
      <c r="C40" s="8" t="n"/>
      <c r="D40" s="9" t="n"/>
      <c r="E40" s="12" t="n"/>
      <c r="F40" s="8" t="n"/>
      <c r="G40" s="8" t="n"/>
      <c r="H40" s="9" t="n"/>
      <c r="I40" s="13">
        <f>IF(H40="","",TODAY()-H40)</f>
        <v/>
      </c>
      <c r="J40" s="8" t="n"/>
      <c r="K40" s="8" t="n"/>
    </row>
    <row r="41">
      <c r="A41" s="8" t="n"/>
      <c r="B41" s="8" t="n"/>
      <c r="C41" s="8" t="n"/>
      <c r="D41" s="9" t="n"/>
      <c r="E41" s="12" t="n"/>
      <c r="F41" s="8" t="n"/>
      <c r="G41" s="8" t="n"/>
      <c r="H41" s="9" t="n"/>
      <c r="I41" s="13">
        <f>IF(H41="","",TODAY()-H41)</f>
        <v/>
      </c>
      <c r="J41" s="8" t="n"/>
      <c r="K41" s="8" t="n"/>
    </row>
    <row r="42">
      <c r="A42" s="8" t="n"/>
      <c r="B42" s="8" t="n"/>
      <c r="C42" s="8" t="n"/>
      <c r="D42" s="9" t="n"/>
      <c r="E42" s="12" t="n"/>
      <c r="F42" s="8" t="n"/>
      <c r="G42" s="8" t="n"/>
      <c r="H42" s="9" t="n"/>
      <c r="I42" s="13">
        <f>IF(H42="","",TODAY()-H42)</f>
        <v/>
      </c>
      <c r="J42" s="8" t="n"/>
      <c r="K42" s="8" t="n"/>
    </row>
    <row r="43">
      <c r="A43" s="8" t="n"/>
      <c r="B43" s="8" t="n"/>
      <c r="C43" s="8" t="n"/>
      <c r="D43" s="9" t="n"/>
      <c r="E43" s="12" t="n"/>
      <c r="F43" s="8" t="n"/>
      <c r="G43" s="8" t="n"/>
      <c r="H43" s="9" t="n"/>
      <c r="I43" s="13">
        <f>IF(H43="","",TODAY()-H43)</f>
        <v/>
      </c>
      <c r="J43" s="8" t="n"/>
      <c r="K43" s="8" t="n"/>
    </row>
    <row r="44">
      <c r="A44" s="8" t="n"/>
      <c r="B44" s="8" t="n"/>
      <c r="C44" s="8" t="n"/>
      <c r="D44" s="9" t="n"/>
      <c r="E44" s="12" t="n"/>
      <c r="F44" s="8" t="n"/>
      <c r="G44" s="8" t="n"/>
      <c r="H44" s="9" t="n"/>
      <c r="I44" s="13">
        <f>IF(H44="","",TODAY()-H44)</f>
        <v/>
      </c>
      <c r="J44" s="8" t="n"/>
      <c r="K44" s="8" t="n"/>
    </row>
    <row r="45">
      <c r="A45" s="8" t="n"/>
      <c r="B45" s="8" t="n"/>
      <c r="C45" s="8" t="n"/>
      <c r="D45" s="9" t="n"/>
      <c r="E45" s="12" t="n"/>
      <c r="F45" s="8" t="n"/>
      <c r="G45" s="8" t="n"/>
      <c r="H45" s="9" t="n"/>
      <c r="I45" s="13">
        <f>IF(H45="","",TODAY()-H45)</f>
        <v/>
      </c>
      <c r="J45" s="8" t="n"/>
      <c r="K45" s="8" t="n"/>
    </row>
    <row r="46">
      <c r="A46" s="8" t="n"/>
      <c r="B46" s="8" t="n"/>
      <c r="C46" s="8" t="n"/>
      <c r="D46" s="9" t="n"/>
      <c r="E46" s="12" t="n"/>
      <c r="F46" s="8" t="n"/>
      <c r="G46" s="8" t="n"/>
      <c r="H46" s="9" t="n"/>
      <c r="I46" s="13">
        <f>IF(H46="","",TODAY()-H46)</f>
        <v/>
      </c>
      <c r="J46" s="8" t="n"/>
      <c r="K46" s="8" t="n"/>
    </row>
    <row r="47">
      <c r="A47" s="8" t="n"/>
      <c r="B47" s="8" t="n"/>
      <c r="C47" s="8" t="n"/>
      <c r="D47" s="9" t="n"/>
      <c r="E47" s="12" t="n"/>
      <c r="F47" s="8" t="n"/>
      <c r="G47" s="8" t="n"/>
      <c r="H47" s="9" t="n"/>
      <c r="I47" s="13">
        <f>IF(H47="","",TODAY()-H47)</f>
        <v/>
      </c>
      <c r="J47" s="8" t="n"/>
      <c r="K47" s="8" t="n"/>
    </row>
    <row r="48">
      <c r="A48" s="8" t="n"/>
      <c r="B48" s="8" t="n"/>
      <c r="C48" s="8" t="n"/>
      <c r="D48" s="9" t="n"/>
      <c r="E48" s="12" t="n"/>
      <c r="F48" s="8" t="n"/>
      <c r="G48" s="8" t="n"/>
      <c r="H48" s="9" t="n"/>
      <c r="I48" s="13">
        <f>IF(H48="","",TODAY()-H48)</f>
        <v/>
      </c>
      <c r="J48" s="8" t="n"/>
      <c r="K48" s="8" t="n"/>
    </row>
    <row r="49">
      <c r="A49" s="8" t="n"/>
      <c r="B49" s="8" t="n"/>
      <c r="C49" s="8" t="n"/>
      <c r="D49" s="9" t="n"/>
      <c r="E49" s="12" t="n"/>
      <c r="F49" s="8" t="n"/>
      <c r="G49" s="8" t="n"/>
      <c r="H49" s="9" t="n"/>
      <c r="I49" s="13">
        <f>IF(H49="","",TODAY()-H49)</f>
        <v/>
      </c>
      <c r="J49" s="8" t="n"/>
      <c r="K49" s="8" t="n"/>
    </row>
    <row r="50">
      <c r="A50" s="8" t="n"/>
      <c r="B50" s="8" t="n"/>
      <c r="C50" s="8" t="n"/>
      <c r="D50" s="9" t="n"/>
      <c r="E50" s="12" t="n"/>
      <c r="F50" s="8" t="n"/>
      <c r="G50" s="8" t="n"/>
      <c r="H50" s="9" t="n"/>
      <c r="I50" s="13">
        <f>IF(H50="","",TODAY()-H50)</f>
        <v/>
      </c>
      <c r="J50" s="8" t="n"/>
      <c r="K50" s="8" t="n"/>
    </row>
    <row r="51">
      <c r="A51" s="8" t="n"/>
      <c r="B51" s="8" t="n"/>
      <c r="C51" s="8" t="n"/>
      <c r="D51" s="9" t="n"/>
      <c r="E51" s="12" t="n"/>
      <c r="F51" s="8" t="n"/>
      <c r="G51" s="8" t="n"/>
      <c r="H51" s="9" t="n"/>
      <c r="I51" s="13">
        <f>IF(H51="","",TODAY()-H51)</f>
        <v/>
      </c>
      <c r="J51" s="8" t="n"/>
      <c r="K51" s="8" t="n"/>
    </row>
    <row r="52">
      <c r="A52" s="8" t="n"/>
      <c r="B52" s="8" t="n"/>
      <c r="C52" s="8" t="n"/>
      <c r="D52" s="9" t="n"/>
      <c r="E52" s="12" t="n"/>
      <c r="F52" s="8" t="n"/>
      <c r="G52" s="8" t="n"/>
      <c r="H52" s="9" t="n"/>
      <c r="I52" s="13">
        <f>IF(H52="","",TODAY()-H52)</f>
        <v/>
      </c>
      <c r="J52" s="8" t="n"/>
      <c r="K52" s="8" t="n"/>
    </row>
    <row r="53">
      <c r="A53" s="8" t="n"/>
      <c r="B53" s="8" t="n"/>
      <c r="C53" s="8" t="n"/>
      <c r="D53" s="9" t="n"/>
      <c r="E53" s="12" t="n"/>
      <c r="F53" s="8" t="n"/>
      <c r="G53" s="8" t="n"/>
      <c r="H53" s="9" t="n"/>
      <c r="I53" s="13">
        <f>IF(H53="","",TODAY()-H53)</f>
        <v/>
      </c>
      <c r="J53" s="8" t="n"/>
      <c r="K53" s="8" t="n"/>
    </row>
    <row r="54">
      <c r="A54" s="8" t="n"/>
      <c r="B54" s="8" t="n"/>
      <c r="C54" s="8" t="n"/>
      <c r="D54" s="9" t="n"/>
      <c r="E54" s="12" t="n"/>
      <c r="F54" s="8" t="n"/>
      <c r="G54" s="8" t="n"/>
      <c r="H54" s="9" t="n"/>
      <c r="I54" s="13">
        <f>IF(H54="","",TODAY()-H54)</f>
        <v/>
      </c>
      <c r="J54" s="8" t="n"/>
      <c r="K54" s="8" t="n"/>
    </row>
    <row r="55">
      <c r="A55" s="8" t="n"/>
      <c r="B55" s="8" t="n"/>
      <c r="C55" s="8" t="n"/>
      <c r="D55" s="9" t="n"/>
      <c r="E55" s="12" t="n"/>
      <c r="F55" s="8" t="n"/>
      <c r="G55" s="8" t="n"/>
      <c r="H55" s="9" t="n"/>
      <c r="I55" s="13">
        <f>IF(H55="","",TODAY()-H55)</f>
        <v/>
      </c>
      <c r="J55" s="8" t="n"/>
      <c r="K55" s="8" t="n"/>
    </row>
    <row r="56">
      <c r="A56" s="8" t="n"/>
      <c r="B56" s="8" t="n"/>
      <c r="C56" s="8" t="n"/>
      <c r="D56" s="9" t="n"/>
      <c r="E56" s="12" t="n"/>
      <c r="F56" s="8" t="n"/>
      <c r="G56" s="8" t="n"/>
      <c r="H56" s="9" t="n"/>
      <c r="I56" s="13">
        <f>IF(H56="","",TODAY()-H56)</f>
        <v/>
      </c>
      <c r="J56" s="8" t="n"/>
      <c r="K56" s="8" t="n"/>
    </row>
    <row r="57">
      <c r="A57" s="8" t="n"/>
      <c r="B57" s="8" t="n"/>
      <c r="C57" s="8" t="n"/>
      <c r="D57" s="9" t="n"/>
      <c r="E57" s="12" t="n"/>
      <c r="F57" s="8" t="n"/>
      <c r="G57" s="8" t="n"/>
      <c r="H57" s="9" t="n"/>
      <c r="I57" s="13">
        <f>IF(H57="","",TODAY()-H57)</f>
        <v/>
      </c>
      <c r="J57" s="8" t="n"/>
      <c r="K57" s="8" t="n"/>
    </row>
    <row r="58">
      <c r="A58" s="8" t="n"/>
      <c r="B58" s="8" t="n"/>
      <c r="C58" s="8" t="n"/>
      <c r="D58" s="9" t="n"/>
      <c r="E58" s="12" t="n"/>
      <c r="F58" s="8" t="n"/>
      <c r="G58" s="8" t="n"/>
      <c r="H58" s="9" t="n"/>
      <c r="I58" s="13">
        <f>IF(H58="","",TODAY()-H58)</f>
        <v/>
      </c>
      <c r="J58" s="8" t="n"/>
      <c r="K58" s="8" t="n"/>
    </row>
    <row r="59">
      <c r="A59" s="8" t="n"/>
      <c r="B59" s="8" t="n"/>
      <c r="C59" s="8" t="n"/>
      <c r="D59" s="9" t="n"/>
      <c r="E59" s="12" t="n"/>
      <c r="F59" s="8" t="n"/>
      <c r="G59" s="8" t="n"/>
      <c r="H59" s="9" t="n"/>
      <c r="I59" s="13">
        <f>IF(H59="","",TODAY()-H59)</f>
        <v/>
      </c>
      <c r="J59" s="8" t="n"/>
      <c r="K59" s="8" t="n"/>
    </row>
    <row r="60">
      <c r="A60" s="8" t="n"/>
      <c r="B60" s="8" t="n"/>
      <c r="C60" s="8" t="n"/>
      <c r="D60" s="9" t="n"/>
      <c r="E60" s="12" t="n"/>
      <c r="F60" s="8" t="n"/>
      <c r="G60" s="8" t="n"/>
      <c r="H60" s="9" t="n"/>
      <c r="I60" s="13">
        <f>IF(H60="","",TODAY()-H60)</f>
        <v/>
      </c>
      <c r="J60" s="8" t="n"/>
      <c r="K60" s="8" t="n"/>
    </row>
    <row r="61">
      <c r="A61" s="8" t="n"/>
      <c r="B61" s="8" t="n"/>
      <c r="C61" s="8" t="n"/>
      <c r="D61" s="9" t="n"/>
      <c r="E61" s="12" t="n"/>
      <c r="F61" s="8" t="n"/>
      <c r="G61" s="8" t="n"/>
      <c r="H61" s="9" t="n"/>
      <c r="I61" s="13">
        <f>IF(H61="","",TODAY()-H61)</f>
        <v/>
      </c>
      <c r="J61" s="8" t="n"/>
      <c r="K61" s="8" t="n"/>
    </row>
    <row r="62">
      <c r="A62" s="8" t="n"/>
      <c r="B62" s="8" t="n"/>
      <c r="C62" s="8" t="n"/>
      <c r="D62" s="9" t="n"/>
      <c r="E62" s="12" t="n"/>
      <c r="F62" s="8" t="n"/>
      <c r="G62" s="8" t="n"/>
      <c r="H62" s="9" t="n"/>
      <c r="I62" s="13">
        <f>IF(H62="","",TODAY()-H62)</f>
        <v/>
      </c>
      <c r="J62" s="8" t="n"/>
      <c r="K62" s="8" t="n"/>
    </row>
    <row r="63">
      <c r="A63" s="8" t="n"/>
      <c r="B63" s="8" t="n"/>
      <c r="C63" s="8" t="n"/>
      <c r="D63" s="9" t="n"/>
      <c r="E63" s="12" t="n"/>
      <c r="F63" s="8" t="n"/>
      <c r="G63" s="8" t="n"/>
      <c r="H63" s="9" t="n"/>
      <c r="I63" s="13">
        <f>IF(H63="","",TODAY()-H63)</f>
        <v/>
      </c>
      <c r="J63" s="8" t="n"/>
      <c r="K63" s="8" t="n"/>
    </row>
    <row r="64">
      <c r="A64" s="8" t="n"/>
      <c r="B64" s="8" t="n"/>
      <c r="C64" s="8" t="n"/>
      <c r="D64" s="9" t="n"/>
      <c r="E64" s="12" t="n"/>
      <c r="F64" s="8" t="n"/>
      <c r="G64" s="8" t="n"/>
      <c r="H64" s="9" t="n"/>
      <c r="I64" s="13">
        <f>IF(H64="","",TODAY()-H64)</f>
        <v/>
      </c>
      <c r="J64" s="8" t="n"/>
      <c r="K64" s="8" t="n"/>
    </row>
    <row r="65">
      <c r="A65" s="8" t="n"/>
      <c r="B65" s="8" t="n"/>
      <c r="C65" s="8" t="n"/>
      <c r="D65" s="9" t="n"/>
      <c r="E65" s="12" t="n"/>
      <c r="F65" s="8" t="n"/>
      <c r="G65" s="8" t="n"/>
      <c r="H65" s="9" t="n"/>
      <c r="I65" s="13">
        <f>IF(H65="","",TODAY()-H65)</f>
        <v/>
      </c>
      <c r="J65" s="8" t="n"/>
      <c r="K65" s="8" t="n"/>
    </row>
    <row r="66">
      <c r="A66" s="8" t="n"/>
      <c r="B66" s="8" t="n"/>
      <c r="C66" s="8" t="n"/>
      <c r="D66" s="9" t="n"/>
      <c r="E66" s="12" t="n"/>
      <c r="F66" s="8" t="n"/>
      <c r="G66" s="8" t="n"/>
      <c r="H66" s="9" t="n"/>
      <c r="I66" s="13">
        <f>IF(H66="","",TODAY()-H66)</f>
        <v/>
      </c>
      <c r="J66" s="8" t="n"/>
      <c r="K66" s="8" t="n"/>
    </row>
    <row r="67">
      <c r="A67" s="8" t="n"/>
      <c r="B67" s="8" t="n"/>
      <c r="C67" s="8" t="n"/>
      <c r="D67" s="9" t="n"/>
      <c r="E67" s="12" t="n"/>
      <c r="F67" s="8" t="n"/>
      <c r="G67" s="8" t="n"/>
      <c r="H67" s="9" t="n"/>
      <c r="I67" s="13">
        <f>IF(H67="","",TODAY()-H67)</f>
        <v/>
      </c>
      <c r="J67" s="8" t="n"/>
      <c r="K67" s="8" t="n"/>
    </row>
    <row r="68">
      <c r="A68" s="8" t="n"/>
      <c r="B68" s="8" t="n"/>
      <c r="C68" s="8" t="n"/>
      <c r="D68" s="9" t="n"/>
      <c r="E68" s="12" t="n"/>
      <c r="F68" s="8" t="n"/>
      <c r="G68" s="8" t="n"/>
      <c r="H68" s="9" t="n"/>
      <c r="I68" s="13">
        <f>IF(H68="","",TODAY()-H68)</f>
        <v/>
      </c>
      <c r="J68" s="8" t="n"/>
      <c r="K68" s="8" t="n"/>
    </row>
    <row r="69">
      <c r="A69" s="8" t="n"/>
      <c r="B69" s="8" t="n"/>
      <c r="C69" s="8" t="n"/>
      <c r="D69" s="9" t="n"/>
      <c r="E69" s="12" t="n"/>
      <c r="F69" s="8" t="n"/>
      <c r="G69" s="8" t="n"/>
      <c r="H69" s="9" t="n"/>
      <c r="I69" s="13">
        <f>IF(H69="","",TODAY()-H69)</f>
        <v/>
      </c>
      <c r="J69" s="8" t="n"/>
      <c r="K69" s="8" t="n"/>
    </row>
    <row r="70">
      <c r="A70" s="8" t="n"/>
      <c r="B70" s="8" t="n"/>
      <c r="C70" s="8" t="n"/>
      <c r="D70" s="9" t="n"/>
      <c r="E70" s="12" t="n"/>
      <c r="F70" s="8" t="n"/>
      <c r="G70" s="8" t="n"/>
      <c r="H70" s="9" t="n"/>
      <c r="I70" s="13">
        <f>IF(H70="","",TODAY()-H70)</f>
        <v/>
      </c>
      <c r="J70" s="8" t="n"/>
      <c r="K70" s="8" t="n"/>
    </row>
    <row r="71">
      <c r="A71" s="8" t="n"/>
      <c r="B71" s="8" t="n"/>
      <c r="C71" s="8" t="n"/>
      <c r="D71" s="9" t="n"/>
      <c r="E71" s="12" t="n"/>
      <c r="F71" s="8" t="n"/>
      <c r="G71" s="8" t="n"/>
      <c r="H71" s="9" t="n"/>
      <c r="I71" s="13">
        <f>IF(H71="","",TODAY()-H71)</f>
        <v/>
      </c>
      <c r="J71" s="8" t="n"/>
      <c r="K71" s="8" t="n"/>
    </row>
    <row r="72">
      <c r="A72" s="8" t="n"/>
      <c r="B72" s="8" t="n"/>
      <c r="C72" s="8" t="n"/>
      <c r="D72" s="9" t="n"/>
      <c r="E72" s="12" t="n"/>
      <c r="F72" s="8" t="n"/>
      <c r="G72" s="8" t="n"/>
      <c r="H72" s="9" t="n"/>
      <c r="I72" s="13">
        <f>IF(H72="","",TODAY()-H72)</f>
        <v/>
      </c>
      <c r="J72" s="8" t="n"/>
      <c r="K72" s="8" t="n"/>
    </row>
    <row r="73">
      <c r="A73" s="8" t="n"/>
      <c r="B73" s="8" t="n"/>
      <c r="C73" s="8" t="n"/>
      <c r="D73" s="9" t="n"/>
      <c r="E73" s="12" t="n"/>
      <c r="F73" s="8" t="n"/>
      <c r="G73" s="8" t="n"/>
      <c r="H73" s="9" t="n"/>
      <c r="I73" s="13">
        <f>IF(H73="","",TODAY()-H73)</f>
        <v/>
      </c>
      <c r="J73" s="8" t="n"/>
      <c r="K73" s="8" t="n"/>
    </row>
    <row r="74">
      <c r="A74" s="8" t="n"/>
      <c r="B74" s="8" t="n"/>
      <c r="C74" s="8" t="n"/>
      <c r="D74" s="9" t="n"/>
      <c r="E74" s="12" t="n"/>
      <c r="F74" s="8" t="n"/>
      <c r="G74" s="8" t="n"/>
      <c r="H74" s="9" t="n"/>
      <c r="I74" s="13">
        <f>IF(H74="","",TODAY()-H74)</f>
        <v/>
      </c>
      <c r="J74" s="8" t="n"/>
      <c r="K74" s="8" t="n"/>
    </row>
    <row r="75">
      <c r="A75" s="8" t="n"/>
      <c r="B75" s="8" t="n"/>
      <c r="C75" s="8" t="n"/>
      <c r="D75" s="9" t="n"/>
      <c r="E75" s="12" t="n"/>
      <c r="F75" s="8" t="n"/>
      <c r="G75" s="8" t="n"/>
      <c r="H75" s="9" t="n"/>
      <c r="I75" s="13">
        <f>IF(H75="","",TODAY()-H75)</f>
        <v/>
      </c>
      <c r="J75" s="8" t="n"/>
      <c r="K75" s="8" t="n"/>
    </row>
    <row r="76">
      <c r="A76" s="8" t="n"/>
      <c r="B76" s="8" t="n"/>
      <c r="C76" s="8" t="n"/>
      <c r="D76" s="9" t="n"/>
      <c r="E76" s="12" t="n"/>
      <c r="F76" s="8" t="n"/>
      <c r="G76" s="8" t="n"/>
      <c r="H76" s="9" t="n"/>
      <c r="I76" s="13">
        <f>IF(H76="","",TODAY()-H76)</f>
        <v/>
      </c>
      <c r="J76" s="8" t="n"/>
      <c r="K76" s="8" t="n"/>
    </row>
    <row r="77">
      <c r="A77" s="8" t="n"/>
      <c r="B77" s="8" t="n"/>
      <c r="C77" s="8" t="n"/>
      <c r="D77" s="9" t="n"/>
      <c r="E77" s="12" t="n"/>
      <c r="F77" s="8" t="n"/>
      <c r="G77" s="8" t="n"/>
      <c r="H77" s="9" t="n"/>
      <c r="I77" s="13">
        <f>IF(H77="","",TODAY()-H77)</f>
        <v/>
      </c>
      <c r="J77" s="8" t="n"/>
      <c r="K77" s="8" t="n"/>
    </row>
    <row r="78">
      <c r="A78" s="8" t="n"/>
      <c r="B78" s="8" t="n"/>
      <c r="C78" s="8" t="n"/>
      <c r="D78" s="9" t="n"/>
      <c r="E78" s="12" t="n"/>
      <c r="F78" s="8" t="n"/>
      <c r="G78" s="8" t="n"/>
      <c r="H78" s="9" t="n"/>
      <c r="I78" s="13">
        <f>IF(H78="","",TODAY()-H78)</f>
        <v/>
      </c>
      <c r="J78" s="8" t="n"/>
      <c r="K78" s="8" t="n"/>
    </row>
    <row r="79">
      <c r="A79" s="8" t="n"/>
      <c r="B79" s="8" t="n"/>
      <c r="C79" s="8" t="n"/>
      <c r="D79" s="9" t="n"/>
      <c r="E79" s="12" t="n"/>
      <c r="F79" s="8" t="n"/>
      <c r="G79" s="8" t="n"/>
      <c r="H79" s="9" t="n"/>
      <c r="I79" s="13">
        <f>IF(H79="","",TODAY()-H79)</f>
        <v/>
      </c>
      <c r="J79" s="8" t="n"/>
      <c r="K79" s="8" t="n"/>
    </row>
    <row r="80">
      <c r="A80" s="8" t="n"/>
      <c r="B80" s="8" t="n"/>
      <c r="C80" s="8" t="n"/>
      <c r="D80" s="9" t="n"/>
      <c r="E80" s="12" t="n"/>
      <c r="F80" s="8" t="n"/>
      <c r="G80" s="8" t="n"/>
      <c r="H80" s="9" t="n"/>
      <c r="I80" s="13">
        <f>IF(H80="","",TODAY()-H80)</f>
        <v/>
      </c>
      <c r="J80" s="8" t="n"/>
      <c r="K80" s="8" t="n"/>
    </row>
    <row r="81">
      <c r="A81" s="8" t="n"/>
      <c r="B81" s="8" t="n"/>
      <c r="C81" s="8" t="n"/>
      <c r="D81" s="9" t="n"/>
      <c r="E81" s="12" t="n"/>
      <c r="F81" s="8" t="n"/>
      <c r="G81" s="8" t="n"/>
      <c r="H81" s="9" t="n"/>
      <c r="I81" s="13">
        <f>IF(H81="","",TODAY()-H81)</f>
        <v/>
      </c>
      <c r="J81" s="8" t="n"/>
      <c r="K81" s="8" t="n"/>
    </row>
    <row r="82">
      <c r="A82" s="8" t="n"/>
      <c r="B82" s="8" t="n"/>
      <c r="C82" s="8" t="n"/>
      <c r="D82" s="9" t="n"/>
      <c r="E82" s="12" t="n"/>
      <c r="F82" s="8" t="n"/>
      <c r="G82" s="8" t="n"/>
      <c r="H82" s="9" t="n"/>
      <c r="I82" s="13">
        <f>IF(H82="","",TODAY()-H82)</f>
        <v/>
      </c>
      <c r="J82" s="8" t="n"/>
      <c r="K82" s="8" t="n"/>
    </row>
    <row r="83">
      <c r="A83" s="8" t="n"/>
      <c r="B83" s="8" t="n"/>
      <c r="C83" s="8" t="n"/>
      <c r="D83" s="9" t="n"/>
      <c r="E83" s="12" t="n"/>
      <c r="F83" s="8" t="n"/>
      <c r="G83" s="8" t="n"/>
      <c r="H83" s="9" t="n"/>
      <c r="I83" s="13">
        <f>IF(H83="","",TODAY()-H83)</f>
        <v/>
      </c>
      <c r="J83" s="8" t="n"/>
      <c r="K83" s="8" t="n"/>
    </row>
    <row r="84">
      <c r="A84" s="8" t="n"/>
      <c r="B84" s="8" t="n"/>
      <c r="C84" s="8" t="n"/>
      <c r="D84" s="9" t="n"/>
      <c r="E84" s="12" t="n"/>
      <c r="F84" s="8" t="n"/>
      <c r="G84" s="8" t="n"/>
      <c r="H84" s="9" t="n"/>
      <c r="I84" s="13">
        <f>IF(H84="","",TODAY()-H84)</f>
        <v/>
      </c>
      <c r="J84" s="8" t="n"/>
      <c r="K84" s="8" t="n"/>
    </row>
    <row r="85">
      <c r="A85" s="8" t="n"/>
      <c r="B85" s="8" t="n"/>
      <c r="C85" s="8" t="n"/>
      <c r="D85" s="9" t="n"/>
      <c r="E85" s="12" t="n"/>
      <c r="F85" s="8" t="n"/>
      <c r="G85" s="8" t="n"/>
      <c r="H85" s="9" t="n"/>
      <c r="I85" s="13">
        <f>IF(H85="","",TODAY()-H85)</f>
        <v/>
      </c>
      <c r="J85" s="8" t="n"/>
      <c r="K85" s="8" t="n"/>
    </row>
    <row r="86">
      <c r="A86" s="8" t="n"/>
      <c r="B86" s="8" t="n"/>
      <c r="C86" s="8" t="n"/>
      <c r="D86" s="9" t="n"/>
      <c r="E86" s="12" t="n"/>
      <c r="F86" s="8" t="n"/>
      <c r="G86" s="8" t="n"/>
      <c r="H86" s="9" t="n"/>
      <c r="I86" s="13">
        <f>IF(H86="","",TODAY()-H86)</f>
        <v/>
      </c>
      <c r="J86" s="8" t="n"/>
      <c r="K86" s="8" t="n"/>
    </row>
    <row r="87">
      <c r="A87" s="8" t="n"/>
      <c r="B87" s="8" t="n"/>
      <c r="C87" s="8" t="n"/>
      <c r="D87" s="9" t="n"/>
      <c r="E87" s="12" t="n"/>
      <c r="F87" s="8" t="n"/>
      <c r="G87" s="8" t="n"/>
      <c r="H87" s="9" t="n"/>
      <c r="I87" s="13">
        <f>IF(H87="","",TODAY()-H87)</f>
        <v/>
      </c>
      <c r="J87" s="8" t="n"/>
      <c r="K87" s="8" t="n"/>
    </row>
    <row r="88">
      <c r="A88" s="8" t="n"/>
      <c r="B88" s="8" t="n"/>
      <c r="C88" s="8" t="n"/>
      <c r="D88" s="9" t="n"/>
      <c r="E88" s="12" t="n"/>
      <c r="F88" s="8" t="n"/>
      <c r="G88" s="8" t="n"/>
      <c r="H88" s="9" t="n"/>
      <c r="I88" s="13">
        <f>IF(H88="","",TODAY()-H88)</f>
        <v/>
      </c>
      <c r="J88" s="8" t="n"/>
      <c r="K88" s="8" t="n"/>
    </row>
    <row r="89">
      <c r="A89" s="8" t="n"/>
      <c r="B89" s="8" t="n"/>
      <c r="C89" s="8" t="n"/>
      <c r="D89" s="9" t="n"/>
      <c r="E89" s="12" t="n"/>
      <c r="F89" s="8" t="n"/>
      <c r="G89" s="8" t="n"/>
      <c r="H89" s="9" t="n"/>
      <c r="I89" s="13">
        <f>IF(H89="","",TODAY()-H89)</f>
        <v/>
      </c>
      <c r="J89" s="8" t="n"/>
      <c r="K89" s="8" t="n"/>
    </row>
    <row r="90">
      <c r="A90" s="8" t="n"/>
      <c r="B90" s="8" t="n"/>
      <c r="C90" s="8" t="n"/>
      <c r="D90" s="9" t="n"/>
      <c r="E90" s="12" t="n"/>
      <c r="F90" s="8" t="n"/>
      <c r="G90" s="8" t="n"/>
      <c r="H90" s="9" t="n"/>
      <c r="I90" s="13">
        <f>IF(H90="","",TODAY()-H90)</f>
        <v/>
      </c>
      <c r="J90" s="8" t="n"/>
      <c r="K90" s="8" t="n"/>
    </row>
    <row r="91">
      <c r="A91" s="8" t="n"/>
      <c r="B91" s="8" t="n"/>
      <c r="C91" s="8" t="n"/>
      <c r="D91" s="9" t="n"/>
      <c r="E91" s="12" t="n"/>
      <c r="F91" s="8" t="n"/>
      <c r="G91" s="8" t="n"/>
      <c r="H91" s="9" t="n"/>
      <c r="I91" s="13">
        <f>IF(H91="","",TODAY()-H91)</f>
        <v/>
      </c>
      <c r="J91" s="8" t="n"/>
      <c r="K91" s="8" t="n"/>
    </row>
    <row r="92">
      <c r="A92" s="8" t="n"/>
      <c r="B92" s="8" t="n"/>
      <c r="C92" s="8" t="n"/>
      <c r="D92" s="9" t="n"/>
      <c r="E92" s="12" t="n"/>
      <c r="F92" s="8" t="n"/>
      <c r="G92" s="8" t="n"/>
      <c r="H92" s="9" t="n"/>
      <c r="I92" s="13">
        <f>IF(H92="","",TODAY()-H92)</f>
        <v/>
      </c>
      <c r="J92" s="8" t="n"/>
      <c r="K92" s="8" t="n"/>
    </row>
    <row r="93">
      <c r="A93" s="8" t="n"/>
      <c r="B93" s="8" t="n"/>
      <c r="C93" s="8" t="n"/>
      <c r="D93" s="9" t="n"/>
      <c r="E93" s="12" t="n"/>
      <c r="F93" s="8" t="n"/>
      <c r="G93" s="8" t="n"/>
      <c r="H93" s="9" t="n"/>
      <c r="I93" s="13">
        <f>IF(H93="","",TODAY()-H93)</f>
        <v/>
      </c>
      <c r="J93" s="8" t="n"/>
      <c r="K93" s="8" t="n"/>
    </row>
    <row r="94">
      <c r="A94" s="8" t="n"/>
      <c r="B94" s="8" t="n"/>
      <c r="C94" s="8" t="n"/>
      <c r="D94" s="9" t="n"/>
      <c r="E94" s="12" t="n"/>
      <c r="F94" s="8" t="n"/>
      <c r="G94" s="8" t="n"/>
      <c r="H94" s="9" t="n"/>
      <c r="I94" s="13">
        <f>IF(H94="","",TODAY()-H94)</f>
        <v/>
      </c>
      <c r="J94" s="8" t="n"/>
      <c r="K94" s="8" t="n"/>
    </row>
    <row r="95">
      <c r="A95" s="8" t="n"/>
      <c r="B95" s="8" t="n"/>
      <c r="C95" s="8" t="n"/>
      <c r="D95" s="9" t="n"/>
      <c r="E95" s="12" t="n"/>
      <c r="F95" s="8" t="n"/>
      <c r="G95" s="8" t="n"/>
      <c r="H95" s="9" t="n"/>
      <c r="I95" s="13">
        <f>IF(H95="","",TODAY()-H95)</f>
        <v/>
      </c>
      <c r="J95" s="8" t="n"/>
      <c r="K95" s="8" t="n"/>
    </row>
    <row r="96">
      <c r="A96" s="8" t="n"/>
      <c r="B96" s="8" t="n"/>
      <c r="C96" s="8" t="n"/>
      <c r="D96" s="9" t="n"/>
      <c r="E96" s="12" t="n"/>
      <c r="F96" s="8" t="n"/>
      <c r="G96" s="8" t="n"/>
      <c r="H96" s="9" t="n"/>
      <c r="I96" s="13">
        <f>IF(H96="","",TODAY()-H96)</f>
        <v/>
      </c>
      <c r="J96" s="8" t="n"/>
      <c r="K96" s="8" t="n"/>
    </row>
    <row r="97">
      <c r="A97" s="8" t="n"/>
      <c r="B97" s="8" t="n"/>
      <c r="C97" s="8" t="n"/>
      <c r="D97" s="9" t="n"/>
      <c r="E97" s="12" t="n"/>
      <c r="F97" s="8" t="n"/>
      <c r="G97" s="8" t="n"/>
      <c r="H97" s="9" t="n"/>
      <c r="I97" s="13">
        <f>IF(H97="","",TODAY()-H97)</f>
        <v/>
      </c>
      <c r="J97" s="8" t="n"/>
      <c r="K97" s="8" t="n"/>
    </row>
    <row r="98">
      <c r="A98" s="8" t="n"/>
      <c r="B98" s="8" t="n"/>
      <c r="C98" s="8" t="n"/>
      <c r="D98" s="9" t="n"/>
      <c r="E98" s="12" t="n"/>
      <c r="F98" s="8" t="n"/>
      <c r="G98" s="8" t="n"/>
      <c r="H98" s="9" t="n"/>
      <c r="I98" s="13">
        <f>IF(H98="","",TODAY()-H98)</f>
        <v/>
      </c>
      <c r="J98" s="8" t="n"/>
      <c r="K98" s="8" t="n"/>
    </row>
    <row r="99">
      <c r="A99" s="8" t="n"/>
      <c r="B99" s="8" t="n"/>
      <c r="C99" s="8" t="n"/>
      <c r="D99" s="9" t="n"/>
      <c r="E99" s="12" t="n"/>
      <c r="F99" s="8" t="n"/>
      <c r="G99" s="8" t="n"/>
      <c r="H99" s="9" t="n"/>
      <c r="I99" s="13">
        <f>IF(H99="","",TODAY()-H99)</f>
        <v/>
      </c>
      <c r="J99" s="8" t="n"/>
      <c r="K99" s="8" t="n"/>
    </row>
    <row r="100">
      <c r="A100" s="8" t="n"/>
      <c r="B100" s="8" t="n"/>
      <c r="C100" s="8" t="n"/>
      <c r="D100" s="9" t="n"/>
      <c r="E100" s="12" t="n"/>
      <c r="F100" s="8" t="n"/>
      <c r="G100" s="8" t="n"/>
      <c r="H100" s="9" t="n"/>
      <c r="I100" s="13">
        <f>IF(H100="","",TODAY()-H100)</f>
        <v/>
      </c>
      <c r="J100" s="8" t="n"/>
      <c r="K100" s="8" t="n"/>
    </row>
    <row r="101">
      <c r="A101" s="8" t="n"/>
      <c r="B101" s="8" t="n"/>
      <c r="C101" s="8" t="n"/>
      <c r="D101" s="9" t="n"/>
      <c r="E101" s="12" t="n"/>
      <c r="F101" s="8" t="n"/>
      <c r="G101" s="8" t="n"/>
      <c r="H101" s="9" t="n"/>
      <c r="I101" s="13">
        <f>IF(H101="","",TODAY()-H101)</f>
        <v/>
      </c>
      <c r="J101" s="8" t="n"/>
      <c r="K101" s="8" t="n"/>
    </row>
    <row r="102">
      <c r="A102" s="8" t="n"/>
      <c r="B102" s="8" t="n"/>
      <c r="C102" s="8" t="n"/>
      <c r="D102" s="9" t="n"/>
      <c r="E102" s="12" t="n"/>
      <c r="F102" s="8" t="n"/>
      <c r="G102" s="8" t="n"/>
      <c r="H102" s="9" t="n"/>
      <c r="I102" s="13">
        <f>IF(H102="","",TODAY()-H102)</f>
        <v/>
      </c>
      <c r="J102" s="8" t="n"/>
      <c r="K102" s="8" t="n"/>
    </row>
    <row r="103">
      <c r="A103" s="8" t="n"/>
      <c r="B103" s="8" t="n"/>
      <c r="C103" s="8" t="n"/>
      <c r="D103" s="9" t="n"/>
      <c r="E103" s="12" t="n"/>
      <c r="F103" s="8" t="n"/>
      <c r="G103" s="8" t="n"/>
      <c r="H103" s="9" t="n"/>
      <c r="I103" s="13">
        <f>IF(H103="","",TODAY()-H103)</f>
        <v/>
      </c>
      <c r="J103" s="8" t="n"/>
      <c r="K103" s="8" t="n"/>
    </row>
    <row r="104">
      <c r="A104" s="8" t="n"/>
      <c r="B104" s="8" t="n"/>
      <c r="C104" s="8" t="n"/>
      <c r="D104" s="9" t="n"/>
      <c r="E104" s="12" t="n"/>
      <c r="F104" s="8" t="n"/>
      <c r="G104" s="8" t="n"/>
      <c r="H104" s="9" t="n"/>
      <c r="I104" s="13">
        <f>IF(H104="","",TODAY()-H104)</f>
        <v/>
      </c>
      <c r="J104" s="8" t="n"/>
      <c r="K104" s="8" t="n"/>
    </row>
    <row r="105">
      <c r="A105" s="8" t="n"/>
      <c r="B105" s="8" t="n"/>
      <c r="C105" s="8" t="n"/>
      <c r="D105" s="9" t="n"/>
      <c r="E105" s="12" t="n"/>
      <c r="F105" s="8" t="n"/>
      <c r="G105" s="8" t="n"/>
      <c r="H105" s="9" t="n"/>
      <c r="I105" s="13">
        <f>IF(H105="","",TODAY()-H105)</f>
        <v/>
      </c>
      <c r="J105" s="8" t="n"/>
      <c r="K105" s="8" t="n"/>
    </row>
    <row r="106">
      <c r="A106" s="8" t="n"/>
      <c r="B106" s="8" t="n"/>
      <c r="C106" s="8" t="n"/>
      <c r="D106" s="9" t="n"/>
      <c r="E106" s="12" t="n"/>
      <c r="F106" s="8" t="n"/>
      <c r="G106" s="8" t="n"/>
      <c r="H106" s="9" t="n"/>
      <c r="I106" s="13">
        <f>IF(H106="","",TODAY()-H106)</f>
        <v/>
      </c>
      <c r="J106" s="8" t="n"/>
      <c r="K106" s="8" t="n"/>
    </row>
    <row r="107">
      <c r="A107" s="8" t="n"/>
      <c r="B107" s="8" t="n"/>
      <c r="C107" s="8" t="n"/>
      <c r="D107" s="9" t="n"/>
      <c r="E107" s="12" t="n"/>
      <c r="F107" s="8" t="n"/>
      <c r="G107" s="8" t="n"/>
      <c r="H107" s="9" t="n"/>
      <c r="I107" s="13">
        <f>IF(H107="","",TODAY()-H107)</f>
        <v/>
      </c>
      <c r="J107" s="8" t="n"/>
      <c r="K107" s="8" t="n"/>
    </row>
    <row r="108">
      <c r="A108" s="8" t="n"/>
      <c r="B108" s="8" t="n"/>
      <c r="C108" s="8" t="n"/>
      <c r="D108" s="9" t="n"/>
      <c r="E108" s="12" t="n"/>
      <c r="F108" s="8" t="n"/>
      <c r="G108" s="8" t="n"/>
      <c r="H108" s="9" t="n"/>
      <c r="I108" s="13">
        <f>IF(H108="","",TODAY()-H108)</f>
        <v/>
      </c>
      <c r="J108" s="8" t="n"/>
      <c r="K108" s="8" t="n"/>
    </row>
    <row r="109">
      <c r="A109" s="8" t="n"/>
      <c r="B109" s="8" t="n"/>
      <c r="C109" s="8" t="n"/>
      <c r="D109" s="9" t="n"/>
      <c r="E109" s="12" t="n"/>
      <c r="F109" s="8" t="n"/>
      <c r="G109" s="8" t="n"/>
      <c r="H109" s="9" t="n"/>
      <c r="I109" s="13">
        <f>IF(H109="","",TODAY()-H109)</f>
        <v/>
      </c>
      <c r="J109" s="8" t="n"/>
      <c r="K109" s="8" t="n"/>
    </row>
    <row r="110">
      <c r="A110" s="8" t="n"/>
      <c r="B110" s="8" t="n"/>
      <c r="C110" s="8" t="n"/>
      <c r="D110" s="9" t="n"/>
      <c r="E110" s="12" t="n"/>
      <c r="F110" s="8" t="n"/>
      <c r="G110" s="8" t="n"/>
      <c r="H110" s="9" t="n"/>
      <c r="I110" s="13">
        <f>IF(H110="","",TODAY()-H110)</f>
        <v/>
      </c>
      <c r="J110" s="8" t="n"/>
      <c r="K110" s="8" t="n"/>
    </row>
    <row r="111">
      <c r="A111" s="8" t="n"/>
      <c r="B111" s="8" t="n"/>
      <c r="C111" s="8" t="n"/>
      <c r="D111" s="9" t="n"/>
      <c r="E111" s="12" t="n"/>
      <c r="F111" s="8" t="n"/>
      <c r="G111" s="8" t="n"/>
      <c r="H111" s="9" t="n"/>
      <c r="I111" s="13">
        <f>IF(H111="","",TODAY()-H111)</f>
        <v/>
      </c>
      <c r="J111" s="8" t="n"/>
      <c r="K111" s="8" t="n"/>
    </row>
    <row r="112">
      <c r="A112" s="8" t="n"/>
      <c r="B112" s="8" t="n"/>
      <c r="C112" s="8" t="n"/>
      <c r="D112" s="9" t="n"/>
      <c r="E112" s="12" t="n"/>
      <c r="F112" s="8" t="n"/>
      <c r="G112" s="8" t="n"/>
      <c r="H112" s="9" t="n"/>
      <c r="I112" s="13">
        <f>IF(H112="","",TODAY()-H112)</f>
        <v/>
      </c>
      <c r="J112" s="8" t="n"/>
      <c r="K112" s="8" t="n"/>
    </row>
    <row r="113">
      <c r="A113" s="8" t="n"/>
      <c r="B113" s="8" t="n"/>
      <c r="C113" s="8" t="n"/>
      <c r="D113" s="9" t="n"/>
      <c r="E113" s="12" t="n"/>
      <c r="F113" s="8" t="n"/>
      <c r="G113" s="8" t="n"/>
      <c r="H113" s="9" t="n"/>
      <c r="I113" s="13">
        <f>IF(H113="","",TODAY()-H113)</f>
        <v/>
      </c>
      <c r="J113" s="8" t="n"/>
      <c r="K113" s="8" t="n"/>
    </row>
    <row r="114">
      <c r="A114" s="8" t="n"/>
      <c r="B114" s="8" t="n"/>
      <c r="C114" s="8" t="n"/>
      <c r="D114" s="9" t="n"/>
      <c r="E114" s="12" t="n"/>
      <c r="F114" s="8" t="n"/>
      <c r="G114" s="8" t="n"/>
      <c r="H114" s="9" t="n"/>
      <c r="I114" s="13">
        <f>IF(H114="","",TODAY()-H114)</f>
        <v/>
      </c>
      <c r="J114" s="8" t="n"/>
      <c r="K114" s="8" t="n"/>
    </row>
    <row r="115">
      <c r="A115" s="8" t="n"/>
      <c r="B115" s="8" t="n"/>
      <c r="C115" s="8" t="n"/>
      <c r="D115" s="9" t="n"/>
      <c r="E115" s="12" t="n"/>
      <c r="F115" s="8" t="n"/>
      <c r="G115" s="8" t="n"/>
      <c r="H115" s="9" t="n"/>
      <c r="I115" s="13">
        <f>IF(H115="","",TODAY()-H115)</f>
        <v/>
      </c>
      <c r="J115" s="8" t="n"/>
      <c r="K115" s="8" t="n"/>
    </row>
    <row r="116">
      <c r="A116" s="8" t="n"/>
      <c r="B116" s="8" t="n"/>
      <c r="C116" s="8" t="n"/>
      <c r="D116" s="9" t="n"/>
      <c r="E116" s="12" t="n"/>
      <c r="F116" s="8" t="n"/>
      <c r="G116" s="8" t="n"/>
      <c r="H116" s="9" t="n"/>
      <c r="I116" s="13">
        <f>IF(H116="","",TODAY()-H116)</f>
        <v/>
      </c>
      <c r="J116" s="8" t="n"/>
      <c r="K116" s="8" t="n"/>
    </row>
    <row r="117">
      <c r="A117" s="8" t="n"/>
      <c r="B117" s="8" t="n"/>
      <c r="C117" s="8" t="n"/>
      <c r="D117" s="9" t="n"/>
      <c r="E117" s="12" t="n"/>
      <c r="F117" s="8" t="n"/>
      <c r="G117" s="8" t="n"/>
      <c r="H117" s="9" t="n"/>
      <c r="I117" s="13">
        <f>IF(H117="","",TODAY()-H117)</f>
        <v/>
      </c>
      <c r="J117" s="8" t="n"/>
      <c r="K117" s="8" t="n"/>
    </row>
    <row r="118">
      <c r="A118" s="8" t="n"/>
      <c r="B118" s="8" t="n"/>
      <c r="C118" s="8" t="n"/>
      <c r="D118" s="9" t="n"/>
      <c r="E118" s="12" t="n"/>
      <c r="F118" s="8" t="n"/>
      <c r="G118" s="8" t="n"/>
      <c r="H118" s="9" t="n"/>
      <c r="I118" s="13">
        <f>IF(H118="","",TODAY()-H118)</f>
        <v/>
      </c>
      <c r="J118" s="8" t="n"/>
      <c r="K118" s="8" t="n"/>
    </row>
    <row r="119">
      <c r="A119" s="8" t="n"/>
      <c r="B119" s="8" t="n"/>
      <c r="C119" s="8" t="n"/>
      <c r="D119" s="9" t="n"/>
      <c r="E119" s="12" t="n"/>
      <c r="F119" s="8" t="n"/>
      <c r="G119" s="8" t="n"/>
      <c r="H119" s="9" t="n"/>
      <c r="I119" s="13">
        <f>IF(H119="","",TODAY()-H119)</f>
        <v/>
      </c>
      <c r="J119" s="8" t="n"/>
      <c r="K119" s="8" t="n"/>
    </row>
    <row r="120">
      <c r="A120" s="8" t="n"/>
      <c r="B120" s="8" t="n"/>
      <c r="C120" s="8" t="n"/>
      <c r="D120" s="9" t="n"/>
      <c r="E120" s="12" t="n"/>
      <c r="F120" s="8" t="n"/>
      <c r="G120" s="8" t="n"/>
      <c r="H120" s="9" t="n"/>
      <c r="I120" s="13">
        <f>IF(H120="","",TODAY()-H120)</f>
        <v/>
      </c>
      <c r="J120" s="8" t="n"/>
      <c r="K120" s="8" t="n"/>
    </row>
  </sheetData>
  <conditionalFormatting sqref="I4:I120">
    <cfRule type="cellIs" priority="1" operator="greaterThan" dxfId="3">
      <formula>30</formula>
    </cfRule>
  </conditionalFormatting>
  <conditionalFormatting sqref="E4:E120">
    <cfRule type="cellIs" priority="2" operator="lessThan" dxfId="4">
      <formula>75000</formula>
    </cfRule>
  </conditionalFormatting>
  <conditionalFormatting sqref="J4:J120">
    <cfRule type="cellIs" priority="3" operator="equal" dxfId="4">
      <formula>"Blocked"</formula>
    </cfRule>
  </conditionalFormatting>
  <dataValidations count="2">
    <dataValidation sqref="J4:J120" showDropDown="0" showInputMessage="0" showErrorMessage="0" allowBlank="1" type="list">
      <formula1>"Approved,Watch,Blocked"</formula1>
    </dataValidation>
    <dataValidation sqref="C4:C120" showDropDown="0" showInputMessage="0" showErrorMessage="0" allowBlank="1" type="list">
      <formula1>"Yes,No,Expired"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6" customWidth="1" min="5" max="5"/>
    <col width="10" customWidth="1" min="6" max="6"/>
    <col width="12" customWidth="1" min="7" max="7"/>
    <col width="11" customWidth="1" min="8" max="8"/>
    <col width="12" customWidth="1" min="9" max="9"/>
    <col width="9" customWidth="1" min="10" max="10"/>
    <col width="13" customWidth="1" min="11" max="11"/>
    <col width="14" customWidth="1" min="12" max="12"/>
    <col width="12" customWidth="1" min="13" max="13"/>
    <col width="10" customWidth="1" min="14" max="14"/>
    <col width="11" customWidth="1" min="15" max="15"/>
    <col width="10" customWidth="1" min="16" max="16"/>
    <col width="26" customWidth="1" min="17" max="17"/>
  </cols>
  <sheetData>
    <row r="1">
      <c r="A1" s="1" t="inlineStr">
        <is>
          <t>STEADHAUL DISPATCH — LOADS</t>
        </is>
      </c>
    </row>
    <row r="2">
      <c r="A2" s="2" t="inlineStr">
        <is>
          <t>Every load you book. RPM calculates itself. 'Carrier approved' is not optional — the site promises nothing books without their yes, and this column is your proof of it.</t>
        </is>
      </c>
    </row>
    <row r="3" ht="30" customHeight="1">
      <c r="A3" s="3" t="inlineStr">
        <is>
          <t>Date</t>
        </is>
      </c>
      <c r="B3" s="3" t="inlineStr">
        <is>
          <t>Carrier</t>
        </is>
      </c>
      <c r="C3" s="3" t="inlineStr">
        <is>
          <t>Broker</t>
        </is>
      </c>
      <c r="D3" s="3" t="inlineStr">
        <is>
          <t>Origin</t>
        </is>
      </c>
      <c r="E3" s="3" t="inlineStr">
        <is>
          <t>Destination</t>
        </is>
      </c>
      <c r="F3" s="3" t="inlineStr">
        <is>
          <t>Equip</t>
        </is>
      </c>
      <c r="G3" s="3" t="inlineStr">
        <is>
          <t>Loaded miles</t>
        </is>
      </c>
      <c r="H3" s="3" t="inlineStr">
        <is>
          <t>Deadhead</t>
        </is>
      </c>
      <c r="I3" s="3" t="inlineStr">
        <is>
          <t>Linehaul</t>
        </is>
      </c>
      <c r="J3" s="3" t="inlineStr">
        <is>
          <t>RPM</t>
        </is>
      </c>
      <c r="K3" s="3" t="inlineStr">
        <is>
          <t>Carrier approved</t>
        </is>
      </c>
      <c r="L3" s="3" t="inlineStr">
        <is>
          <t>How approved</t>
        </is>
      </c>
      <c r="M3" s="3" t="inlineStr">
        <is>
          <t>Rate con sent</t>
        </is>
      </c>
      <c r="N3" s="3" t="inlineStr">
        <is>
          <t>POD in</t>
        </is>
      </c>
      <c r="O3" s="3" t="inlineStr">
        <is>
          <t>Invoiced</t>
        </is>
      </c>
      <c r="P3" s="3" t="inlineStr">
        <is>
          <t>Paid</t>
        </is>
      </c>
      <c r="Q3" s="3" t="inlineStr">
        <is>
          <t>Notes</t>
        </is>
      </c>
    </row>
    <row r="4">
      <c r="A4" s="5" t="n">
        <v>46287</v>
      </c>
      <c r="B4" s="4" t="inlineStr">
        <is>
          <t>Example Trucking LLC</t>
        </is>
      </c>
      <c r="C4" s="4" t="inlineStr">
        <is>
          <t>Example Broker Inc</t>
        </is>
      </c>
      <c r="D4" s="4" t="inlineStr">
        <is>
          <t>Sacramento, CA</t>
        </is>
      </c>
      <c r="E4" s="4" t="inlineStr">
        <is>
          <t>Phoenix, AZ</t>
        </is>
      </c>
      <c r="F4" s="4" t="inlineStr">
        <is>
          <t>Reefer</t>
        </is>
      </c>
      <c r="G4" s="4" t="n">
        <v>755</v>
      </c>
      <c r="H4" s="4" t="n">
        <v>42</v>
      </c>
      <c r="I4" s="11" t="n">
        <v>1890</v>
      </c>
      <c r="J4" s="14">
        <f>IFERROR(I4/G4,"")</f>
        <v/>
      </c>
      <c r="K4" s="4" t="inlineStr">
        <is>
          <t>Yes</t>
        </is>
      </c>
      <c r="L4" s="4" t="inlineStr">
        <is>
          <t>Text</t>
        </is>
      </c>
      <c r="M4" s="4" t="inlineStr">
        <is>
          <t>Yes</t>
        </is>
      </c>
      <c r="N4" s="4" t="inlineStr">
        <is>
          <t>Yes</t>
        </is>
      </c>
      <c r="O4" s="4" t="inlineStr">
        <is>
          <t>Yes</t>
        </is>
      </c>
      <c r="P4" s="4" t="inlineStr">
        <is>
          <t>No</t>
        </is>
      </c>
      <c r="Q4" s="4" t="inlineStr">
        <is>
          <t>Delete this row</t>
        </is>
      </c>
    </row>
    <row r="5">
      <c r="A5" s="9" t="n"/>
      <c r="B5" s="8" t="n"/>
      <c r="C5" s="8" t="n"/>
      <c r="D5" s="8" t="n"/>
      <c r="E5" s="8" t="n"/>
      <c r="F5" s="8" t="n"/>
      <c r="G5" s="8" t="n"/>
      <c r="H5" s="8" t="n"/>
      <c r="I5" s="12" t="n"/>
      <c r="J5" s="15">
        <f>IFERROR(I5/G5,"")</f>
        <v/>
      </c>
      <c r="K5" s="8" t="n"/>
      <c r="L5" s="8" t="n"/>
      <c r="M5" s="8" t="n"/>
      <c r="N5" s="8" t="n"/>
      <c r="O5" s="8" t="n"/>
      <c r="P5" s="8" t="n"/>
      <c r="Q5" s="8" t="n"/>
    </row>
    <row r="6">
      <c r="A6" s="9" t="n"/>
      <c r="B6" s="8" t="n"/>
      <c r="C6" s="8" t="n"/>
      <c r="D6" s="8" t="n"/>
      <c r="E6" s="8" t="n"/>
      <c r="F6" s="8" t="n"/>
      <c r="G6" s="8" t="n"/>
      <c r="H6" s="8" t="n"/>
      <c r="I6" s="12" t="n"/>
      <c r="J6" s="15">
        <f>IFERROR(I6/G6,"")</f>
        <v/>
      </c>
      <c r="K6" s="8" t="n"/>
      <c r="L6" s="8" t="n"/>
      <c r="M6" s="8" t="n"/>
      <c r="N6" s="8" t="n"/>
      <c r="O6" s="8" t="n"/>
      <c r="P6" s="8" t="n"/>
      <c r="Q6" s="8" t="n"/>
    </row>
    <row r="7">
      <c r="A7" s="9" t="n"/>
      <c r="B7" s="8" t="n"/>
      <c r="C7" s="8" t="n"/>
      <c r="D7" s="8" t="n"/>
      <c r="E7" s="8" t="n"/>
      <c r="F7" s="8" t="n"/>
      <c r="G7" s="8" t="n"/>
      <c r="H7" s="8" t="n"/>
      <c r="I7" s="12" t="n"/>
      <c r="J7" s="15">
        <f>IFERROR(I7/G7,"")</f>
        <v/>
      </c>
      <c r="K7" s="8" t="n"/>
      <c r="L7" s="8" t="n"/>
      <c r="M7" s="8" t="n"/>
      <c r="N7" s="8" t="n"/>
      <c r="O7" s="8" t="n"/>
      <c r="P7" s="8" t="n"/>
      <c r="Q7" s="8" t="n"/>
    </row>
    <row r="8">
      <c r="A8" s="9" t="n"/>
      <c r="B8" s="8" t="n"/>
      <c r="C8" s="8" t="n"/>
      <c r="D8" s="8" t="n"/>
      <c r="E8" s="8" t="n"/>
      <c r="F8" s="8" t="n"/>
      <c r="G8" s="8" t="n"/>
      <c r="H8" s="8" t="n"/>
      <c r="I8" s="12" t="n"/>
      <c r="J8" s="15">
        <f>IFERROR(I8/G8,"")</f>
        <v/>
      </c>
      <c r="K8" s="8" t="n"/>
      <c r="L8" s="8" t="n"/>
      <c r="M8" s="8" t="n"/>
      <c r="N8" s="8" t="n"/>
      <c r="O8" s="8" t="n"/>
      <c r="P8" s="8" t="n"/>
      <c r="Q8" s="8" t="n"/>
    </row>
    <row r="9">
      <c r="A9" s="9" t="n"/>
      <c r="B9" s="8" t="n"/>
      <c r="C9" s="8" t="n"/>
      <c r="D9" s="8" t="n"/>
      <c r="E9" s="8" t="n"/>
      <c r="F9" s="8" t="n"/>
      <c r="G9" s="8" t="n"/>
      <c r="H9" s="8" t="n"/>
      <c r="I9" s="12" t="n"/>
      <c r="J9" s="15">
        <f>IFERROR(I9/G9,"")</f>
        <v/>
      </c>
      <c r="K9" s="8" t="n"/>
      <c r="L9" s="8" t="n"/>
      <c r="M9" s="8" t="n"/>
      <c r="N9" s="8" t="n"/>
      <c r="O9" s="8" t="n"/>
      <c r="P9" s="8" t="n"/>
      <c r="Q9" s="8" t="n"/>
    </row>
    <row r="10">
      <c r="A10" s="9" t="n"/>
      <c r="B10" s="8" t="n"/>
      <c r="C10" s="8" t="n"/>
      <c r="D10" s="8" t="n"/>
      <c r="E10" s="8" t="n"/>
      <c r="F10" s="8" t="n"/>
      <c r="G10" s="8" t="n"/>
      <c r="H10" s="8" t="n"/>
      <c r="I10" s="12" t="n"/>
      <c r="J10" s="15">
        <f>IFERROR(I10/G10,"")</f>
        <v/>
      </c>
      <c r="K10" s="8" t="n"/>
      <c r="L10" s="8" t="n"/>
      <c r="M10" s="8" t="n"/>
      <c r="N10" s="8" t="n"/>
      <c r="O10" s="8" t="n"/>
      <c r="P10" s="8" t="n"/>
      <c r="Q10" s="8" t="n"/>
    </row>
    <row r="11">
      <c r="A11" s="9" t="n"/>
      <c r="B11" s="8" t="n"/>
      <c r="C11" s="8" t="n"/>
      <c r="D11" s="8" t="n"/>
      <c r="E11" s="8" t="n"/>
      <c r="F11" s="8" t="n"/>
      <c r="G11" s="8" t="n"/>
      <c r="H11" s="8" t="n"/>
      <c r="I11" s="12" t="n"/>
      <c r="J11" s="15">
        <f>IFERROR(I11/G11,"")</f>
        <v/>
      </c>
      <c r="K11" s="8" t="n"/>
      <c r="L11" s="8" t="n"/>
      <c r="M11" s="8" t="n"/>
      <c r="N11" s="8" t="n"/>
      <c r="O11" s="8" t="n"/>
      <c r="P11" s="8" t="n"/>
      <c r="Q11" s="8" t="n"/>
    </row>
    <row r="12">
      <c r="A12" s="9" t="n"/>
      <c r="B12" s="8" t="n"/>
      <c r="C12" s="8" t="n"/>
      <c r="D12" s="8" t="n"/>
      <c r="E12" s="8" t="n"/>
      <c r="F12" s="8" t="n"/>
      <c r="G12" s="8" t="n"/>
      <c r="H12" s="8" t="n"/>
      <c r="I12" s="12" t="n"/>
      <c r="J12" s="15">
        <f>IFERROR(I12/G12,"")</f>
        <v/>
      </c>
      <c r="K12" s="8" t="n"/>
      <c r="L12" s="8" t="n"/>
      <c r="M12" s="8" t="n"/>
      <c r="N12" s="8" t="n"/>
      <c r="O12" s="8" t="n"/>
      <c r="P12" s="8" t="n"/>
      <c r="Q12" s="8" t="n"/>
    </row>
    <row r="13">
      <c r="A13" s="9" t="n"/>
      <c r="B13" s="8" t="n"/>
      <c r="C13" s="8" t="n"/>
      <c r="D13" s="8" t="n"/>
      <c r="E13" s="8" t="n"/>
      <c r="F13" s="8" t="n"/>
      <c r="G13" s="8" t="n"/>
      <c r="H13" s="8" t="n"/>
      <c r="I13" s="12" t="n"/>
      <c r="J13" s="15">
        <f>IFERROR(I13/G13,"")</f>
        <v/>
      </c>
      <c r="K13" s="8" t="n"/>
      <c r="L13" s="8" t="n"/>
      <c r="M13" s="8" t="n"/>
      <c r="N13" s="8" t="n"/>
      <c r="O13" s="8" t="n"/>
      <c r="P13" s="8" t="n"/>
      <c r="Q13" s="8" t="n"/>
    </row>
    <row r="14">
      <c r="A14" s="9" t="n"/>
      <c r="B14" s="8" t="n"/>
      <c r="C14" s="8" t="n"/>
      <c r="D14" s="8" t="n"/>
      <c r="E14" s="8" t="n"/>
      <c r="F14" s="8" t="n"/>
      <c r="G14" s="8" t="n"/>
      <c r="H14" s="8" t="n"/>
      <c r="I14" s="12" t="n"/>
      <c r="J14" s="15">
        <f>IFERROR(I14/G14,"")</f>
        <v/>
      </c>
      <c r="K14" s="8" t="n"/>
      <c r="L14" s="8" t="n"/>
      <c r="M14" s="8" t="n"/>
      <c r="N14" s="8" t="n"/>
      <c r="O14" s="8" t="n"/>
      <c r="P14" s="8" t="n"/>
      <c r="Q14" s="8" t="n"/>
    </row>
    <row r="15">
      <c r="A15" s="9" t="n"/>
      <c r="B15" s="8" t="n"/>
      <c r="C15" s="8" t="n"/>
      <c r="D15" s="8" t="n"/>
      <c r="E15" s="8" t="n"/>
      <c r="F15" s="8" t="n"/>
      <c r="G15" s="8" t="n"/>
      <c r="H15" s="8" t="n"/>
      <c r="I15" s="12" t="n"/>
      <c r="J15" s="15">
        <f>IFERROR(I15/G15,"")</f>
        <v/>
      </c>
      <c r="K15" s="8" t="n"/>
      <c r="L15" s="8" t="n"/>
      <c r="M15" s="8" t="n"/>
      <c r="N15" s="8" t="n"/>
      <c r="O15" s="8" t="n"/>
      <c r="P15" s="8" t="n"/>
      <c r="Q15" s="8" t="n"/>
    </row>
    <row r="16">
      <c r="A16" s="9" t="n"/>
      <c r="B16" s="8" t="n"/>
      <c r="C16" s="8" t="n"/>
      <c r="D16" s="8" t="n"/>
      <c r="E16" s="8" t="n"/>
      <c r="F16" s="8" t="n"/>
      <c r="G16" s="8" t="n"/>
      <c r="H16" s="8" t="n"/>
      <c r="I16" s="12" t="n"/>
      <c r="J16" s="15">
        <f>IFERROR(I16/G16,"")</f>
        <v/>
      </c>
      <c r="K16" s="8" t="n"/>
      <c r="L16" s="8" t="n"/>
      <c r="M16" s="8" t="n"/>
      <c r="N16" s="8" t="n"/>
      <c r="O16" s="8" t="n"/>
      <c r="P16" s="8" t="n"/>
      <c r="Q16" s="8" t="n"/>
    </row>
    <row r="17">
      <c r="A17" s="9" t="n"/>
      <c r="B17" s="8" t="n"/>
      <c r="C17" s="8" t="n"/>
      <c r="D17" s="8" t="n"/>
      <c r="E17" s="8" t="n"/>
      <c r="F17" s="8" t="n"/>
      <c r="G17" s="8" t="n"/>
      <c r="H17" s="8" t="n"/>
      <c r="I17" s="12" t="n"/>
      <c r="J17" s="15">
        <f>IFERROR(I17/G17,"")</f>
        <v/>
      </c>
      <c r="K17" s="8" t="n"/>
      <c r="L17" s="8" t="n"/>
      <c r="M17" s="8" t="n"/>
      <c r="N17" s="8" t="n"/>
      <c r="O17" s="8" t="n"/>
      <c r="P17" s="8" t="n"/>
      <c r="Q17" s="8" t="n"/>
    </row>
    <row r="18">
      <c r="A18" s="9" t="n"/>
      <c r="B18" s="8" t="n"/>
      <c r="C18" s="8" t="n"/>
      <c r="D18" s="8" t="n"/>
      <c r="E18" s="8" t="n"/>
      <c r="F18" s="8" t="n"/>
      <c r="G18" s="8" t="n"/>
      <c r="H18" s="8" t="n"/>
      <c r="I18" s="12" t="n"/>
      <c r="J18" s="15">
        <f>IFERROR(I18/G18,"")</f>
        <v/>
      </c>
      <c r="K18" s="8" t="n"/>
      <c r="L18" s="8" t="n"/>
      <c r="M18" s="8" t="n"/>
      <c r="N18" s="8" t="n"/>
      <c r="O18" s="8" t="n"/>
      <c r="P18" s="8" t="n"/>
      <c r="Q18" s="8" t="n"/>
    </row>
    <row r="19">
      <c r="A19" s="9" t="n"/>
      <c r="B19" s="8" t="n"/>
      <c r="C19" s="8" t="n"/>
      <c r="D19" s="8" t="n"/>
      <c r="E19" s="8" t="n"/>
      <c r="F19" s="8" t="n"/>
      <c r="G19" s="8" t="n"/>
      <c r="H19" s="8" t="n"/>
      <c r="I19" s="12" t="n"/>
      <c r="J19" s="15">
        <f>IFERROR(I19/G19,"")</f>
        <v/>
      </c>
      <c r="K19" s="8" t="n"/>
      <c r="L19" s="8" t="n"/>
      <c r="M19" s="8" t="n"/>
      <c r="N19" s="8" t="n"/>
      <c r="O19" s="8" t="n"/>
      <c r="P19" s="8" t="n"/>
      <c r="Q19" s="8" t="n"/>
    </row>
    <row r="20">
      <c r="A20" s="9" t="n"/>
      <c r="B20" s="8" t="n"/>
      <c r="C20" s="8" t="n"/>
      <c r="D20" s="8" t="n"/>
      <c r="E20" s="8" t="n"/>
      <c r="F20" s="8" t="n"/>
      <c r="G20" s="8" t="n"/>
      <c r="H20" s="8" t="n"/>
      <c r="I20" s="12" t="n"/>
      <c r="J20" s="15">
        <f>IFERROR(I20/G20,"")</f>
        <v/>
      </c>
      <c r="K20" s="8" t="n"/>
      <c r="L20" s="8" t="n"/>
      <c r="M20" s="8" t="n"/>
      <c r="N20" s="8" t="n"/>
      <c r="O20" s="8" t="n"/>
      <c r="P20" s="8" t="n"/>
      <c r="Q20" s="8" t="n"/>
    </row>
    <row r="21">
      <c r="A21" s="9" t="n"/>
      <c r="B21" s="8" t="n"/>
      <c r="C21" s="8" t="n"/>
      <c r="D21" s="8" t="n"/>
      <c r="E21" s="8" t="n"/>
      <c r="F21" s="8" t="n"/>
      <c r="G21" s="8" t="n"/>
      <c r="H21" s="8" t="n"/>
      <c r="I21" s="12" t="n"/>
      <c r="J21" s="15">
        <f>IFERROR(I21/G21,"")</f>
        <v/>
      </c>
      <c r="K21" s="8" t="n"/>
      <c r="L21" s="8" t="n"/>
      <c r="M21" s="8" t="n"/>
      <c r="N21" s="8" t="n"/>
      <c r="O21" s="8" t="n"/>
      <c r="P21" s="8" t="n"/>
      <c r="Q21" s="8" t="n"/>
    </row>
    <row r="22">
      <c r="A22" s="9" t="n"/>
      <c r="B22" s="8" t="n"/>
      <c r="C22" s="8" t="n"/>
      <c r="D22" s="8" t="n"/>
      <c r="E22" s="8" t="n"/>
      <c r="F22" s="8" t="n"/>
      <c r="G22" s="8" t="n"/>
      <c r="H22" s="8" t="n"/>
      <c r="I22" s="12" t="n"/>
      <c r="J22" s="15">
        <f>IFERROR(I22/G22,"")</f>
        <v/>
      </c>
      <c r="K22" s="8" t="n"/>
      <c r="L22" s="8" t="n"/>
      <c r="M22" s="8" t="n"/>
      <c r="N22" s="8" t="n"/>
      <c r="O22" s="8" t="n"/>
      <c r="P22" s="8" t="n"/>
      <c r="Q22" s="8" t="n"/>
    </row>
    <row r="23">
      <c r="A23" s="9" t="n"/>
      <c r="B23" s="8" t="n"/>
      <c r="C23" s="8" t="n"/>
      <c r="D23" s="8" t="n"/>
      <c r="E23" s="8" t="n"/>
      <c r="F23" s="8" t="n"/>
      <c r="G23" s="8" t="n"/>
      <c r="H23" s="8" t="n"/>
      <c r="I23" s="12" t="n"/>
      <c r="J23" s="15">
        <f>IFERROR(I23/G23,"")</f>
        <v/>
      </c>
      <c r="K23" s="8" t="n"/>
      <c r="L23" s="8" t="n"/>
      <c r="M23" s="8" t="n"/>
      <c r="N23" s="8" t="n"/>
      <c r="O23" s="8" t="n"/>
      <c r="P23" s="8" t="n"/>
      <c r="Q23" s="8" t="n"/>
    </row>
    <row r="24">
      <c r="A24" s="9" t="n"/>
      <c r="B24" s="8" t="n"/>
      <c r="C24" s="8" t="n"/>
      <c r="D24" s="8" t="n"/>
      <c r="E24" s="8" t="n"/>
      <c r="F24" s="8" t="n"/>
      <c r="G24" s="8" t="n"/>
      <c r="H24" s="8" t="n"/>
      <c r="I24" s="12" t="n"/>
      <c r="J24" s="15">
        <f>IFERROR(I24/G24,"")</f>
        <v/>
      </c>
      <c r="K24" s="8" t="n"/>
      <c r="L24" s="8" t="n"/>
      <c r="M24" s="8" t="n"/>
      <c r="N24" s="8" t="n"/>
      <c r="O24" s="8" t="n"/>
      <c r="P24" s="8" t="n"/>
      <c r="Q24" s="8" t="n"/>
    </row>
    <row r="25">
      <c r="A25" s="9" t="n"/>
      <c r="B25" s="8" t="n"/>
      <c r="C25" s="8" t="n"/>
      <c r="D25" s="8" t="n"/>
      <c r="E25" s="8" t="n"/>
      <c r="F25" s="8" t="n"/>
      <c r="G25" s="8" t="n"/>
      <c r="H25" s="8" t="n"/>
      <c r="I25" s="12" t="n"/>
      <c r="J25" s="15">
        <f>IFERROR(I25/G25,"")</f>
        <v/>
      </c>
      <c r="K25" s="8" t="n"/>
      <c r="L25" s="8" t="n"/>
      <c r="M25" s="8" t="n"/>
      <c r="N25" s="8" t="n"/>
      <c r="O25" s="8" t="n"/>
      <c r="P25" s="8" t="n"/>
      <c r="Q25" s="8" t="n"/>
    </row>
    <row r="26">
      <c r="A26" s="9" t="n"/>
      <c r="B26" s="8" t="n"/>
      <c r="C26" s="8" t="n"/>
      <c r="D26" s="8" t="n"/>
      <c r="E26" s="8" t="n"/>
      <c r="F26" s="8" t="n"/>
      <c r="G26" s="8" t="n"/>
      <c r="H26" s="8" t="n"/>
      <c r="I26" s="12" t="n"/>
      <c r="J26" s="15">
        <f>IFERROR(I26/G26,"")</f>
        <v/>
      </c>
      <c r="K26" s="8" t="n"/>
      <c r="L26" s="8" t="n"/>
      <c r="M26" s="8" t="n"/>
      <c r="N26" s="8" t="n"/>
      <c r="O26" s="8" t="n"/>
      <c r="P26" s="8" t="n"/>
      <c r="Q26" s="8" t="n"/>
    </row>
    <row r="27">
      <c r="A27" s="9" t="n"/>
      <c r="B27" s="8" t="n"/>
      <c r="C27" s="8" t="n"/>
      <c r="D27" s="8" t="n"/>
      <c r="E27" s="8" t="n"/>
      <c r="F27" s="8" t="n"/>
      <c r="G27" s="8" t="n"/>
      <c r="H27" s="8" t="n"/>
      <c r="I27" s="12" t="n"/>
      <c r="J27" s="15">
        <f>IFERROR(I27/G27,"")</f>
        <v/>
      </c>
      <c r="K27" s="8" t="n"/>
      <c r="L27" s="8" t="n"/>
      <c r="M27" s="8" t="n"/>
      <c r="N27" s="8" t="n"/>
      <c r="O27" s="8" t="n"/>
      <c r="P27" s="8" t="n"/>
      <c r="Q27" s="8" t="n"/>
    </row>
    <row r="28">
      <c r="A28" s="9" t="n"/>
      <c r="B28" s="8" t="n"/>
      <c r="C28" s="8" t="n"/>
      <c r="D28" s="8" t="n"/>
      <c r="E28" s="8" t="n"/>
      <c r="F28" s="8" t="n"/>
      <c r="G28" s="8" t="n"/>
      <c r="H28" s="8" t="n"/>
      <c r="I28" s="12" t="n"/>
      <c r="J28" s="15">
        <f>IFERROR(I28/G28,"")</f>
        <v/>
      </c>
      <c r="K28" s="8" t="n"/>
      <c r="L28" s="8" t="n"/>
      <c r="M28" s="8" t="n"/>
      <c r="N28" s="8" t="n"/>
      <c r="O28" s="8" t="n"/>
      <c r="P28" s="8" t="n"/>
      <c r="Q28" s="8" t="n"/>
    </row>
    <row r="29">
      <c r="A29" s="9" t="n"/>
      <c r="B29" s="8" t="n"/>
      <c r="C29" s="8" t="n"/>
      <c r="D29" s="8" t="n"/>
      <c r="E29" s="8" t="n"/>
      <c r="F29" s="8" t="n"/>
      <c r="G29" s="8" t="n"/>
      <c r="H29" s="8" t="n"/>
      <c r="I29" s="12" t="n"/>
      <c r="J29" s="15">
        <f>IFERROR(I29/G29,"")</f>
        <v/>
      </c>
      <c r="K29" s="8" t="n"/>
      <c r="L29" s="8" t="n"/>
      <c r="M29" s="8" t="n"/>
      <c r="N29" s="8" t="n"/>
      <c r="O29" s="8" t="n"/>
      <c r="P29" s="8" t="n"/>
      <c r="Q29" s="8" t="n"/>
    </row>
    <row r="30">
      <c r="A30" s="9" t="n"/>
      <c r="B30" s="8" t="n"/>
      <c r="C30" s="8" t="n"/>
      <c r="D30" s="8" t="n"/>
      <c r="E30" s="8" t="n"/>
      <c r="F30" s="8" t="n"/>
      <c r="G30" s="8" t="n"/>
      <c r="H30" s="8" t="n"/>
      <c r="I30" s="12" t="n"/>
      <c r="J30" s="15">
        <f>IFERROR(I30/G30,"")</f>
        <v/>
      </c>
      <c r="K30" s="8" t="n"/>
      <c r="L30" s="8" t="n"/>
      <c r="M30" s="8" t="n"/>
      <c r="N30" s="8" t="n"/>
      <c r="O30" s="8" t="n"/>
      <c r="P30" s="8" t="n"/>
      <c r="Q30" s="8" t="n"/>
    </row>
    <row r="31">
      <c r="A31" s="9" t="n"/>
      <c r="B31" s="8" t="n"/>
      <c r="C31" s="8" t="n"/>
      <c r="D31" s="8" t="n"/>
      <c r="E31" s="8" t="n"/>
      <c r="F31" s="8" t="n"/>
      <c r="G31" s="8" t="n"/>
      <c r="H31" s="8" t="n"/>
      <c r="I31" s="12" t="n"/>
      <c r="J31" s="15">
        <f>IFERROR(I31/G31,"")</f>
        <v/>
      </c>
      <c r="K31" s="8" t="n"/>
      <c r="L31" s="8" t="n"/>
      <c r="M31" s="8" t="n"/>
      <c r="N31" s="8" t="n"/>
      <c r="O31" s="8" t="n"/>
      <c r="P31" s="8" t="n"/>
      <c r="Q31" s="8" t="n"/>
    </row>
    <row r="32">
      <c r="A32" s="9" t="n"/>
      <c r="B32" s="8" t="n"/>
      <c r="C32" s="8" t="n"/>
      <c r="D32" s="8" t="n"/>
      <c r="E32" s="8" t="n"/>
      <c r="F32" s="8" t="n"/>
      <c r="G32" s="8" t="n"/>
      <c r="H32" s="8" t="n"/>
      <c r="I32" s="12" t="n"/>
      <c r="J32" s="15">
        <f>IFERROR(I32/G32,"")</f>
        <v/>
      </c>
      <c r="K32" s="8" t="n"/>
      <c r="L32" s="8" t="n"/>
      <c r="M32" s="8" t="n"/>
      <c r="N32" s="8" t="n"/>
      <c r="O32" s="8" t="n"/>
      <c r="P32" s="8" t="n"/>
      <c r="Q32" s="8" t="n"/>
    </row>
    <row r="33">
      <c r="A33" s="9" t="n"/>
      <c r="B33" s="8" t="n"/>
      <c r="C33" s="8" t="n"/>
      <c r="D33" s="8" t="n"/>
      <c r="E33" s="8" t="n"/>
      <c r="F33" s="8" t="n"/>
      <c r="G33" s="8" t="n"/>
      <c r="H33" s="8" t="n"/>
      <c r="I33" s="12" t="n"/>
      <c r="J33" s="15">
        <f>IFERROR(I33/G33,"")</f>
        <v/>
      </c>
      <c r="K33" s="8" t="n"/>
      <c r="L33" s="8" t="n"/>
      <c r="M33" s="8" t="n"/>
      <c r="N33" s="8" t="n"/>
      <c r="O33" s="8" t="n"/>
      <c r="P33" s="8" t="n"/>
      <c r="Q33" s="8" t="n"/>
    </row>
    <row r="34">
      <c r="A34" s="9" t="n"/>
      <c r="B34" s="8" t="n"/>
      <c r="C34" s="8" t="n"/>
      <c r="D34" s="8" t="n"/>
      <c r="E34" s="8" t="n"/>
      <c r="F34" s="8" t="n"/>
      <c r="G34" s="8" t="n"/>
      <c r="H34" s="8" t="n"/>
      <c r="I34" s="12" t="n"/>
      <c r="J34" s="15">
        <f>IFERROR(I34/G34,"")</f>
        <v/>
      </c>
      <c r="K34" s="8" t="n"/>
      <c r="L34" s="8" t="n"/>
      <c r="M34" s="8" t="n"/>
      <c r="N34" s="8" t="n"/>
      <c r="O34" s="8" t="n"/>
      <c r="P34" s="8" t="n"/>
      <c r="Q34" s="8" t="n"/>
    </row>
    <row r="35">
      <c r="A35" s="9" t="n"/>
      <c r="B35" s="8" t="n"/>
      <c r="C35" s="8" t="n"/>
      <c r="D35" s="8" t="n"/>
      <c r="E35" s="8" t="n"/>
      <c r="F35" s="8" t="n"/>
      <c r="G35" s="8" t="n"/>
      <c r="H35" s="8" t="n"/>
      <c r="I35" s="12" t="n"/>
      <c r="J35" s="15">
        <f>IFERROR(I35/G35,"")</f>
        <v/>
      </c>
      <c r="K35" s="8" t="n"/>
      <c r="L35" s="8" t="n"/>
      <c r="M35" s="8" t="n"/>
      <c r="N35" s="8" t="n"/>
      <c r="O35" s="8" t="n"/>
      <c r="P35" s="8" t="n"/>
      <c r="Q35" s="8" t="n"/>
    </row>
    <row r="36">
      <c r="A36" s="9" t="n"/>
      <c r="B36" s="8" t="n"/>
      <c r="C36" s="8" t="n"/>
      <c r="D36" s="8" t="n"/>
      <c r="E36" s="8" t="n"/>
      <c r="F36" s="8" t="n"/>
      <c r="G36" s="8" t="n"/>
      <c r="H36" s="8" t="n"/>
      <c r="I36" s="12" t="n"/>
      <c r="J36" s="15">
        <f>IFERROR(I36/G36,"")</f>
        <v/>
      </c>
      <c r="K36" s="8" t="n"/>
      <c r="L36" s="8" t="n"/>
      <c r="M36" s="8" t="n"/>
      <c r="N36" s="8" t="n"/>
      <c r="O36" s="8" t="n"/>
      <c r="P36" s="8" t="n"/>
      <c r="Q36" s="8" t="n"/>
    </row>
    <row r="37">
      <c r="A37" s="9" t="n"/>
      <c r="B37" s="8" t="n"/>
      <c r="C37" s="8" t="n"/>
      <c r="D37" s="8" t="n"/>
      <c r="E37" s="8" t="n"/>
      <c r="F37" s="8" t="n"/>
      <c r="G37" s="8" t="n"/>
      <c r="H37" s="8" t="n"/>
      <c r="I37" s="12" t="n"/>
      <c r="J37" s="15">
        <f>IFERROR(I37/G37,"")</f>
        <v/>
      </c>
      <c r="K37" s="8" t="n"/>
      <c r="L37" s="8" t="n"/>
      <c r="M37" s="8" t="n"/>
      <c r="N37" s="8" t="n"/>
      <c r="O37" s="8" t="n"/>
      <c r="P37" s="8" t="n"/>
      <c r="Q37" s="8" t="n"/>
    </row>
    <row r="38">
      <c r="A38" s="9" t="n"/>
      <c r="B38" s="8" t="n"/>
      <c r="C38" s="8" t="n"/>
      <c r="D38" s="8" t="n"/>
      <c r="E38" s="8" t="n"/>
      <c r="F38" s="8" t="n"/>
      <c r="G38" s="8" t="n"/>
      <c r="H38" s="8" t="n"/>
      <c r="I38" s="12" t="n"/>
      <c r="J38" s="15">
        <f>IFERROR(I38/G38,"")</f>
        <v/>
      </c>
      <c r="K38" s="8" t="n"/>
      <c r="L38" s="8" t="n"/>
      <c r="M38" s="8" t="n"/>
      <c r="N38" s="8" t="n"/>
      <c r="O38" s="8" t="n"/>
      <c r="P38" s="8" t="n"/>
      <c r="Q38" s="8" t="n"/>
    </row>
    <row r="39">
      <c r="A39" s="9" t="n"/>
      <c r="B39" s="8" t="n"/>
      <c r="C39" s="8" t="n"/>
      <c r="D39" s="8" t="n"/>
      <c r="E39" s="8" t="n"/>
      <c r="F39" s="8" t="n"/>
      <c r="G39" s="8" t="n"/>
      <c r="H39" s="8" t="n"/>
      <c r="I39" s="12" t="n"/>
      <c r="J39" s="15">
        <f>IFERROR(I39/G39,"")</f>
        <v/>
      </c>
      <c r="K39" s="8" t="n"/>
      <c r="L39" s="8" t="n"/>
      <c r="M39" s="8" t="n"/>
      <c r="N39" s="8" t="n"/>
      <c r="O39" s="8" t="n"/>
      <c r="P39" s="8" t="n"/>
      <c r="Q39" s="8" t="n"/>
    </row>
    <row r="40">
      <c r="A40" s="9" t="n"/>
      <c r="B40" s="8" t="n"/>
      <c r="C40" s="8" t="n"/>
      <c r="D40" s="8" t="n"/>
      <c r="E40" s="8" t="n"/>
      <c r="F40" s="8" t="n"/>
      <c r="G40" s="8" t="n"/>
      <c r="H40" s="8" t="n"/>
      <c r="I40" s="12" t="n"/>
      <c r="J40" s="15">
        <f>IFERROR(I40/G40,"")</f>
        <v/>
      </c>
      <c r="K40" s="8" t="n"/>
      <c r="L40" s="8" t="n"/>
      <c r="M40" s="8" t="n"/>
      <c r="N40" s="8" t="n"/>
      <c r="O40" s="8" t="n"/>
      <c r="P40" s="8" t="n"/>
      <c r="Q40" s="8" t="n"/>
    </row>
    <row r="41">
      <c r="A41" s="9" t="n"/>
      <c r="B41" s="8" t="n"/>
      <c r="C41" s="8" t="n"/>
      <c r="D41" s="8" t="n"/>
      <c r="E41" s="8" t="n"/>
      <c r="F41" s="8" t="n"/>
      <c r="G41" s="8" t="n"/>
      <c r="H41" s="8" t="n"/>
      <c r="I41" s="12" t="n"/>
      <c r="J41" s="15">
        <f>IFERROR(I41/G41,"")</f>
        <v/>
      </c>
      <c r="K41" s="8" t="n"/>
      <c r="L41" s="8" t="n"/>
      <c r="M41" s="8" t="n"/>
      <c r="N41" s="8" t="n"/>
      <c r="O41" s="8" t="n"/>
      <c r="P41" s="8" t="n"/>
      <c r="Q41" s="8" t="n"/>
    </row>
    <row r="42">
      <c r="A42" s="9" t="n"/>
      <c r="B42" s="8" t="n"/>
      <c r="C42" s="8" t="n"/>
      <c r="D42" s="8" t="n"/>
      <c r="E42" s="8" t="n"/>
      <c r="F42" s="8" t="n"/>
      <c r="G42" s="8" t="n"/>
      <c r="H42" s="8" t="n"/>
      <c r="I42" s="12" t="n"/>
      <c r="J42" s="15">
        <f>IFERROR(I42/G42,"")</f>
        <v/>
      </c>
      <c r="K42" s="8" t="n"/>
      <c r="L42" s="8" t="n"/>
      <c r="M42" s="8" t="n"/>
      <c r="N42" s="8" t="n"/>
      <c r="O42" s="8" t="n"/>
      <c r="P42" s="8" t="n"/>
      <c r="Q42" s="8" t="n"/>
    </row>
    <row r="43">
      <c r="A43" s="9" t="n"/>
      <c r="B43" s="8" t="n"/>
      <c r="C43" s="8" t="n"/>
      <c r="D43" s="8" t="n"/>
      <c r="E43" s="8" t="n"/>
      <c r="F43" s="8" t="n"/>
      <c r="G43" s="8" t="n"/>
      <c r="H43" s="8" t="n"/>
      <c r="I43" s="12" t="n"/>
      <c r="J43" s="15">
        <f>IFERROR(I43/G43,"")</f>
        <v/>
      </c>
      <c r="K43" s="8" t="n"/>
      <c r="L43" s="8" t="n"/>
      <c r="M43" s="8" t="n"/>
      <c r="N43" s="8" t="n"/>
      <c r="O43" s="8" t="n"/>
      <c r="P43" s="8" t="n"/>
      <c r="Q43" s="8" t="n"/>
    </row>
    <row r="44">
      <c r="A44" s="9" t="n"/>
      <c r="B44" s="8" t="n"/>
      <c r="C44" s="8" t="n"/>
      <c r="D44" s="8" t="n"/>
      <c r="E44" s="8" t="n"/>
      <c r="F44" s="8" t="n"/>
      <c r="G44" s="8" t="n"/>
      <c r="H44" s="8" t="n"/>
      <c r="I44" s="12" t="n"/>
      <c r="J44" s="15">
        <f>IFERROR(I44/G44,"")</f>
        <v/>
      </c>
      <c r="K44" s="8" t="n"/>
      <c r="L44" s="8" t="n"/>
      <c r="M44" s="8" t="n"/>
      <c r="N44" s="8" t="n"/>
      <c r="O44" s="8" t="n"/>
      <c r="P44" s="8" t="n"/>
      <c r="Q44" s="8" t="n"/>
    </row>
    <row r="45">
      <c r="A45" s="9" t="n"/>
      <c r="B45" s="8" t="n"/>
      <c r="C45" s="8" t="n"/>
      <c r="D45" s="8" t="n"/>
      <c r="E45" s="8" t="n"/>
      <c r="F45" s="8" t="n"/>
      <c r="G45" s="8" t="n"/>
      <c r="H45" s="8" t="n"/>
      <c r="I45" s="12" t="n"/>
      <c r="J45" s="15">
        <f>IFERROR(I45/G45,"")</f>
        <v/>
      </c>
      <c r="K45" s="8" t="n"/>
      <c r="L45" s="8" t="n"/>
      <c r="M45" s="8" t="n"/>
      <c r="N45" s="8" t="n"/>
      <c r="O45" s="8" t="n"/>
      <c r="P45" s="8" t="n"/>
      <c r="Q45" s="8" t="n"/>
    </row>
    <row r="46">
      <c r="A46" s="9" t="n"/>
      <c r="B46" s="8" t="n"/>
      <c r="C46" s="8" t="n"/>
      <c r="D46" s="8" t="n"/>
      <c r="E46" s="8" t="n"/>
      <c r="F46" s="8" t="n"/>
      <c r="G46" s="8" t="n"/>
      <c r="H46" s="8" t="n"/>
      <c r="I46" s="12" t="n"/>
      <c r="J46" s="15">
        <f>IFERROR(I46/G46,"")</f>
        <v/>
      </c>
      <c r="K46" s="8" t="n"/>
      <c r="L46" s="8" t="n"/>
      <c r="M46" s="8" t="n"/>
      <c r="N46" s="8" t="n"/>
      <c r="O46" s="8" t="n"/>
      <c r="P46" s="8" t="n"/>
      <c r="Q46" s="8" t="n"/>
    </row>
    <row r="47">
      <c r="A47" s="9" t="n"/>
      <c r="B47" s="8" t="n"/>
      <c r="C47" s="8" t="n"/>
      <c r="D47" s="8" t="n"/>
      <c r="E47" s="8" t="n"/>
      <c r="F47" s="8" t="n"/>
      <c r="G47" s="8" t="n"/>
      <c r="H47" s="8" t="n"/>
      <c r="I47" s="12" t="n"/>
      <c r="J47" s="15">
        <f>IFERROR(I47/G47,"")</f>
        <v/>
      </c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8" t="n"/>
      <c r="C48" s="8" t="n"/>
      <c r="D48" s="8" t="n"/>
      <c r="E48" s="8" t="n"/>
      <c r="F48" s="8" t="n"/>
      <c r="G48" s="8" t="n"/>
      <c r="H48" s="8" t="n"/>
      <c r="I48" s="12" t="n"/>
      <c r="J48" s="15">
        <f>IFERROR(I48/G48,"")</f>
        <v/>
      </c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8" t="n"/>
      <c r="C49" s="8" t="n"/>
      <c r="D49" s="8" t="n"/>
      <c r="E49" s="8" t="n"/>
      <c r="F49" s="8" t="n"/>
      <c r="G49" s="8" t="n"/>
      <c r="H49" s="8" t="n"/>
      <c r="I49" s="12" t="n"/>
      <c r="J49" s="15">
        <f>IFERROR(I49/G49,"")</f>
        <v/>
      </c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8" t="n"/>
      <c r="C50" s="8" t="n"/>
      <c r="D50" s="8" t="n"/>
      <c r="E50" s="8" t="n"/>
      <c r="F50" s="8" t="n"/>
      <c r="G50" s="8" t="n"/>
      <c r="H50" s="8" t="n"/>
      <c r="I50" s="12" t="n"/>
      <c r="J50" s="15">
        <f>IFERROR(I50/G50,"")</f>
        <v/>
      </c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8" t="n"/>
      <c r="C51" s="8" t="n"/>
      <c r="D51" s="8" t="n"/>
      <c r="E51" s="8" t="n"/>
      <c r="F51" s="8" t="n"/>
      <c r="G51" s="8" t="n"/>
      <c r="H51" s="8" t="n"/>
      <c r="I51" s="12" t="n"/>
      <c r="J51" s="15">
        <f>IFERROR(I51/G51,"")</f>
        <v/>
      </c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8" t="n"/>
      <c r="C52" s="8" t="n"/>
      <c r="D52" s="8" t="n"/>
      <c r="E52" s="8" t="n"/>
      <c r="F52" s="8" t="n"/>
      <c r="G52" s="8" t="n"/>
      <c r="H52" s="8" t="n"/>
      <c r="I52" s="12" t="n"/>
      <c r="J52" s="15">
        <f>IFERROR(I52/G52,"")</f>
        <v/>
      </c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8" t="n"/>
      <c r="C53" s="8" t="n"/>
      <c r="D53" s="8" t="n"/>
      <c r="E53" s="8" t="n"/>
      <c r="F53" s="8" t="n"/>
      <c r="G53" s="8" t="n"/>
      <c r="H53" s="8" t="n"/>
      <c r="I53" s="12" t="n"/>
      <c r="J53" s="15">
        <f>IFERROR(I53/G53,"")</f>
        <v/>
      </c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8" t="n"/>
      <c r="C54" s="8" t="n"/>
      <c r="D54" s="8" t="n"/>
      <c r="E54" s="8" t="n"/>
      <c r="F54" s="8" t="n"/>
      <c r="G54" s="8" t="n"/>
      <c r="H54" s="8" t="n"/>
      <c r="I54" s="12" t="n"/>
      <c r="J54" s="15">
        <f>IFERROR(I54/G54,"")</f>
        <v/>
      </c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8" t="n"/>
      <c r="C55" s="8" t="n"/>
      <c r="D55" s="8" t="n"/>
      <c r="E55" s="8" t="n"/>
      <c r="F55" s="8" t="n"/>
      <c r="G55" s="8" t="n"/>
      <c r="H55" s="8" t="n"/>
      <c r="I55" s="12" t="n"/>
      <c r="J55" s="15">
        <f>IFERROR(I55/G55,"")</f>
        <v/>
      </c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8" t="n"/>
      <c r="C56" s="8" t="n"/>
      <c r="D56" s="8" t="n"/>
      <c r="E56" s="8" t="n"/>
      <c r="F56" s="8" t="n"/>
      <c r="G56" s="8" t="n"/>
      <c r="H56" s="8" t="n"/>
      <c r="I56" s="12" t="n"/>
      <c r="J56" s="15">
        <f>IFERROR(I56/G56,"")</f>
        <v/>
      </c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8" t="n"/>
      <c r="C57" s="8" t="n"/>
      <c r="D57" s="8" t="n"/>
      <c r="E57" s="8" t="n"/>
      <c r="F57" s="8" t="n"/>
      <c r="G57" s="8" t="n"/>
      <c r="H57" s="8" t="n"/>
      <c r="I57" s="12" t="n"/>
      <c r="J57" s="15">
        <f>IFERROR(I57/G57,"")</f>
        <v/>
      </c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8" t="n"/>
      <c r="C58" s="8" t="n"/>
      <c r="D58" s="8" t="n"/>
      <c r="E58" s="8" t="n"/>
      <c r="F58" s="8" t="n"/>
      <c r="G58" s="8" t="n"/>
      <c r="H58" s="8" t="n"/>
      <c r="I58" s="12" t="n"/>
      <c r="J58" s="15">
        <f>IFERROR(I58/G58,"")</f>
        <v/>
      </c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8" t="n"/>
      <c r="C59" s="8" t="n"/>
      <c r="D59" s="8" t="n"/>
      <c r="E59" s="8" t="n"/>
      <c r="F59" s="8" t="n"/>
      <c r="G59" s="8" t="n"/>
      <c r="H59" s="8" t="n"/>
      <c r="I59" s="12" t="n"/>
      <c r="J59" s="15">
        <f>IFERROR(I59/G59,"")</f>
        <v/>
      </c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8" t="n"/>
      <c r="C60" s="8" t="n"/>
      <c r="D60" s="8" t="n"/>
      <c r="E60" s="8" t="n"/>
      <c r="F60" s="8" t="n"/>
      <c r="G60" s="8" t="n"/>
      <c r="H60" s="8" t="n"/>
      <c r="I60" s="12" t="n"/>
      <c r="J60" s="15">
        <f>IFERROR(I60/G60,"")</f>
        <v/>
      </c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8" t="n"/>
      <c r="C61" s="8" t="n"/>
      <c r="D61" s="8" t="n"/>
      <c r="E61" s="8" t="n"/>
      <c r="F61" s="8" t="n"/>
      <c r="G61" s="8" t="n"/>
      <c r="H61" s="8" t="n"/>
      <c r="I61" s="12" t="n"/>
      <c r="J61" s="15">
        <f>IFERROR(I61/G61,"")</f>
        <v/>
      </c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8" t="n"/>
      <c r="C62" s="8" t="n"/>
      <c r="D62" s="8" t="n"/>
      <c r="E62" s="8" t="n"/>
      <c r="F62" s="8" t="n"/>
      <c r="G62" s="8" t="n"/>
      <c r="H62" s="8" t="n"/>
      <c r="I62" s="12" t="n"/>
      <c r="J62" s="15">
        <f>IFERROR(I62/G62,"")</f>
        <v/>
      </c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8" t="n"/>
      <c r="C63" s="8" t="n"/>
      <c r="D63" s="8" t="n"/>
      <c r="E63" s="8" t="n"/>
      <c r="F63" s="8" t="n"/>
      <c r="G63" s="8" t="n"/>
      <c r="H63" s="8" t="n"/>
      <c r="I63" s="12" t="n"/>
      <c r="J63" s="15">
        <f>IFERROR(I63/G63,"")</f>
        <v/>
      </c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8" t="n"/>
      <c r="C64" s="8" t="n"/>
      <c r="D64" s="8" t="n"/>
      <c r="E64" s="8" t="n"/>
      <c r="F64" s="8" t="n"/>
      <c r="G64" s="8" t="n"/>
      <c r="H64" s="8" t="n"/>
      <c r="I64" s="12" t="n"/>
      <c r="J64" s="15">
        <f>IFERROR(I64/G64,"")</f>
        <v/>
      </c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8" t="n"/>
      <c r="C65" s="8" t="n"/>
      <c r="D65" s="8" t="n"/>
      <c r="E65" s="8" t="n"/>
      <c r="F65" s="8" t="n"/>
      <c r="G65" s="8" t="n"/>
      <c r="H65" s="8" t="n"/>
      <c r="I65" s="12" t="n"/>
      <c r="J65" s="15">
        <f>IFERROR(I65/G65,"")</f>
        <v/>
      </c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8" t="n"/>
      <c r="C66" s="8" t="n"/>
      <c r="D66" s="8" t="n"/>
      <c r="E66" s="8" t="n"/>
      <c r="F66" s="8" t="n"/>
      <c r="G66" s="8" t="n"/>
      <c r="H66" s="8" t="n"/>
      <c r="I66" s="12" t="n"/>
      <c r="J66" s="15">
        <f>IFERROR(I66/G66,"")</f>
        <v/>
      </c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8" t="n"/>
      <c r="C67" s="8" t="n"/>
      <c r="D67" s="8" t="n"/>
      <c r="E67" s="8" t="n"/>
      <c r="F67" s="8" t="n"/>
      <c r="G67" s="8" t="n"/>
      <c r="H67" s="8" t="n"/>
      <c r="I67" s="12" t="n"/>
      <c r="J67" s="15">
        <f>IFERROR(I67/G67,"")</f>
        <v/>
      </c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8" t="n"/>
      <c r="C68" s="8" t="n"/>
      <c r="D68" s="8" t="n"/>
      <c r="E68" s="8" t="n"/>
      <c r="F68" s="8" t="n"/>
      <c r="G68" s="8" t="n"/>
      <c r="H68" s="8" t="n"/>
      <c r="I68" s="12" t="n"/>
      <c r="J68" s="15">
        <f>IFERROR(I68/G68,"")</f>
        <v/>
      </c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8" t="n"/>
      <c r="C69" s="8" t="n"/>
      <c r="D69" s="8" t="n"/>
      <c r="E69" s="8" t="n"/>
      <c r="F69" s="8" t="n"/>
      <c r="G69" s="8" t="n"/>
      <c r="H69" s="8" t="n"/>
      <c r="I69" s="12" t="n"/>
      <c r="J69" s="15">
        <f>IFERROR(I69/G69,"")</f>
        <v/>
      </c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8" t="n"/>
      <c r="C70" s="8" t="n"/>
      <c r="D70" s="8" t="n"/>
      <c r="E70" s="8" t="n"/>
      <c r="F70" s="8" t="n"/>
      <c r="G70" s="8" t="n"/>
      <c r="H70" s="8" t="n"/>
      <c r="I70" s="12" t="n"/>
      <c r="J70" s="15">
        <f>IFERROR(I70/G70,"")</f>
        <v/>
      </c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8" t="n"/>
      <c r="C71" s="8" t="n"/>
      <c r="D71" s="8" t="n"/>
      <c r="E71" s="8" t="n"/>
      <c r="F71" s="8" t="n"/>
      <c r="G71" s="8" t="n"/>
      <c r="H71" s="8" t="n"/>
      <c r="I71" s="12" t="n"/>
      <c r="J71" s="15">
        <f>IFERROR(I71/G71,"")</f>
        <v/>
      </c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8" t="n"/>
      <c r="C72" s="8" t="n"/>
      <c r="D72" s="8" t="n"/>
      <c r="E72" s="8" t="n"/>
      <c r="F72" s="8" t="n"/>
      <c r="G72" s="8" t="n"/>
      <c r="H72" s="8" t="n"/>
      <c r="I72" s="12" t="n"/>
      <c r="J72" s="15">
        <f>IFERROR(I72/G72,"")</f>
        <v/>
      </c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8" t="n"/>
      <c r="C73" s="8" t="n"/>
      <c r="D73" s="8" t="n"/>
      <c r="E73" s="8" t="n"/>
      <c r="F73" s="8" t="n"/>
      <c r="G73" s="8" t="n"/>
      <c r="H73" s="8" t="n"/>
      <c r="I73" s="12" t="n"/>
      <c r="J73" s="15">
        <f>IFERROR(I73/G73,"")</f>
        <v/>
      </c>
      <c r="K73" s="8" t="n"/>
      <c r="L73" s="8" t="n"/>
      <c r="M73" s="8" t="n"/>
      <c r="N73" s="8" t="n"/>
      <c r="O73" s="8" t="n"/>
      <c r="P73" s="8" t="n"/>
      <c r="Q73" s="8" t="n"/>
    </row>
    <row r="74">
      <c r="A74" s="9" t="n"/>
      <c r="B74" s="8" t="n"/>
      <c r="C74" s="8" t="n"/>
      <c r="D74" s="8" t="n"/>
      <c r="E74" s="8" t="n"/>
      <c r="F74" s="8" t="n"/>
      <c r="G74" s="8" t="n"/>
      <c r="H74" s="8" t="n"/>
      <c r="I74" s="12" t="n"/>
      <c r="J74" s="15">
        <f>IFERROR(I74/G74,"")</f>
        <v/>
      </c>
      <c r="K74" s="8" t="n"/>
      <c r="L74" s="8" t="n"/>
      <c r="M74" s="8" t="n"/>
      <c r="N74" s="8" t="n"/>
      <c r="O74" s="8" t="n"/>
      <c r="P74" s="8" t="n"/>
      <c r="Q74" s="8" t="n"/>
    </row>
    <row r="75">
      <c r="A75" s="9" t="n"/>
      <c r="B75" s="8" t="n"/>
      <c r="C75" s="8" t="n"/>
      <c r="D75" s="8" t="n"/>
      <c r="E75" s="8" t="n"/>
      <c r="F75" s="8" t="n"/>
      <c r="G75" s="8" t="n"/>
      <c r="H75" s="8" t="n"/>
      <c r="I75" s="12" t="n"/>
      <c r="J75" s="15">
        <f>IFERROR(I75/G75,"")</f>
        <v/>
      </c>
      <c r="K75" s="8" t="n"/>
      <c r="L75" s="8" t="n"/>
      <c r="M75" s="8" t="n"/>
      <c r="N75" s="8" t="n"/>
      <c r="O75" s="8" t="n"/>
      <c r="P75" s="8" t="n"/>
      <c r="Q75" s="8" t="n"/>
    </row>
    <row r="76">
      <c r="A76" s="9" t="n"/>
      <c r="B76" s="8" t="n"/>
      <c r="C76" s="8" t="n"/>
      <c r="D76" s="8" t="n"/>
      <c r="E76" s="8" t="n"/>
      <c r="F76" s="8" t="n"/>
      <c r="G76" s="8" t="n"/>
      <c r="H76" s="8" t="n"/>
      <c r="I76" s="12" t="n"/>
      <c r="J76" s="15">
        <f>IFERROR(I76/G76,"")</f>
        <v/>
      </c>
      <c r="K76" s="8" t="n"/>
      <c r="L76" s="8" t="n"/>
      <c r="M76" s="8" t="n"/>
      <c r="N76" s="8" t="n"/>
      <c r="O76" s="8" t="n"/>
      <c r="P76" s="8" t="n"/>
      <c r="Q76" s="8" t="n"/>
    </row>
    <row r="77">
      <c r="A77" s="9" t="n"/>
      <c r="B77" s="8" t="n"/>
      <c r="C77" s="8" t="n"/>
      <c r="D77" s="8" t="n"/>
      <c r="E77" s="8" t="n"/>
      <c r="F77" s="8" t="n"/>
      <c r="G77" s="8" t="n"/>
      <c r="H77" s="8" t="n"/>
      <c r="I77" s="12" t="n"/>
      <c r="J77" s="15">
        <f>IFERROR(I77/G77,"")</f>
        <v/>
      </c>
      <c r="K77" s="8" t="n"/>
      <c r="L77" s="8" t="n"/>
      <c r="M77" s="8" t="n"/>
      <c r="N77" s="8" t="n"/>
      <c r="O77" s="8" t="n"/>
      <c r="P77" s="8" t="n"/>
      <c r="Q77" s="8" t="n"/>
    </row>
    <row r="78">
      <c r="A78" s="9" t="n"/>
      <c r="B78" s="8" t="n"/>
      <c r="C78" s="8" t="n"/>
      <c r="D78" s="8" t="n"/>
      <c r="E78" s="8" t="n"/>
      <c r="F78" s="8" t="n"/>
      <c r="G78" s="8" t="n"/>
      <c r="H78" s="8" t="n"/>
      <c r="I78" s="12" t="n"/>
      <c r="J78" s="15">
        <f>IFERROR(I78/G78,"")</f>
        <v/>
      </c>
      <c r="K78" s="8" t="n"/>
      <c r="L78" s="8" t="n"/>
      <c r="M78" s="8" t="n"/>
      <c r="N78" s="8" t="n"/>
      <c r="O78" s="8" t="n"/>
      <c r="P78" s="8" t="n"/>
      <c r="Q78" s="8" t="n"/>
    </row>
    <row r="79">
      <c r="A79" s="9" t="n"/>
      <c r="B79" s="8" t="n"/>
      <c r="C79" s="8" t="n"/>
      <c r="D79" s="8" t="n"/>
      <c r="E79" s="8" t="n"/>
      <c r="F79" s="8" t="n"/>
      <c r="G79" s="8" t="n"/>
      <c r="H79" s="8" t="n"/>
      <c r="I79" s="12" t="n"/>
      <c r="J79" s="15">
        <f>IFERROR(I79/G79,"")</f>
        <v/>
      </c>
      <c r="K79" s="8" t="n"/>
      <c r="L79" s="8" t="n"/>
      <c r="M79" s="8" t="n"/>
      <c r="N79" s="8" t="n"/>
      <c r="O79" s="8" t="n"/>
      <c r="P79" s="8" t="n"/>
      <c r="Q79" s="8" t="n"/>
    </row>
    <row r="80">
      <c r="A80" s="9" t="n"/>
      <c r="B80" s="8" t="n"/>
      <c r="C80" s="8" t="n"/>
      <c r="D80" s="8" t="n"/>
      <c r="E80" s="8" t="n"/>
      <c r="F80" s="8" t="n"/>
      <c r="G80" s="8" t="n"/>
      <c r="H80" s="8" t="n"/>
      <c r="I80" s="12" t="n"/>
      <c r="J80" s="15">
        <f>IFERROR(I80/G80,"")</f>
        <v/>
      </c>
      <c r="K80" s="8" t="n"/>
      <c r="L80" s="8" t="n"/>
      <c r="M80" s="8" t="n"/>
      <c r="N80" s="8" t="n"/>
      <c r="O80" s="8" t="n"/>
      <c r="P80" s="8" t="n"/>
      <c r="Q80" s="8" t="n"/>
    </row>
    <row r="81">
      <c r="A81" s="9" t="n"/>
      <c r="B81" s="8" t="n"/>
      <c r="C81" s="8" t="n"/>
      <c r="D81" s="8" t="n"/>
      <c r="E81" s="8" t="n"/>
      <c r="F81" s="8" t="n"/>
      <c r="G81" s="8" t="n"/>
      <c r="H81" s="8" t="n"/>
      <c r="I81" s="12" t="n"/>
      <c r="J81" s="15">
        <f>IFERROR(I81/G81,"")</f>
        <v/>
      </c>
      <c r="K81" s="8" t="n"/>
      <c r="L81" s="8" t="n"/>
      <c r="M81" s="8" t="n"/>
      <c r="N81" s="8" t="n"/>
      <c r="O81" s="8" t="n"/>
      <c r="P81" s="8" t="n"/>
      <c r="Q81" s="8" t="n"/>
    </row>
    <row r="82">
      <c r="A82" s="9" t="n"/>
      <c r="B82" s="8" t="n"/>
      <c r="C82" s="8" t="n"/>
      <c r="D82" s="8" t="n"/>
      <c r="E82" s="8" t="n"/>
      <c r="F82" s="8" t="n"/>
      <c r="G82" s="8" t="n"/>
      <c r="H82" s="8" t="n"/>
      <c r="I82" s="12" t="n"/>
      <c r="J82" s="15">
        <f>IFERROR(I82/G82,"")</f>
        <v/>
      </c>
      <c r="K82" s="8" t="n"/>
      <c r="L82" s="8" t="n"/>
      <c r="M82" s="8" t="n"/>
      <c r="N82" s="8" t="n"/>
      <c r="O82" s="8" t="n"/>
      <c r="P82" s="8" t="n"/>
      <c r="Q82" s="8" t="n"/>
    </row>
    <row r="83">
      <c r="A83" s="9" t="n"/>
      <c r="B83" s="8" t="n"/>
      <c r="C83" s="8" t="n"/>
      <c r="D83" s="8" t="n"/>
      <c r="E83" s="8" t="n"/>
      <c r="F83" s="8" t="n"/>
      <c r="G83" s="8" t="n"/>
      <c r="H83" s="8" t="n"/>
      <c r="I83" s="12" t="n"/>
      <c r="J83" s="15">
        <f>IFERROR(I83/G83,"")</f>
        <v/>
      </c>
      <c r="K83" s="8" t="n"/>
      <c r="L83" s="8" t="n"/>
      <c r="M83" s="8" t="n"/>
      <c r="N83" s="8" t="n"/>
      <c r="O83" s="8" t="n"/>
      <c r="P83" s="8" t="n"/>
      <c r="Q83" s="8" t="n"/>
    </row>
    <row r="84">
      <c r="A84" s="9" t="n"/>
      <c r="B84" s="8" t="n"/>
      <c r="C84" s="8" t="n"/>
      <c r="D84" s="8" t="n"/>
      <c r="E84" s="8" t="n"/>
      <c r="F84" s="8" t="n"/>
      <c r="G84" s="8" t="n"/>
      <c r="H84" s="8" t="n"/>
      <c r="I84" s="12" t="n"/>
      <c r="J84" s="15">
        <f>IFERROR(I84/G84,"")</f>
        <v/>
      </c>
      <c r="K84" s="8" t="n"/>
      <c r="L84" s="8" t="n"/>
      <c r="M84" s="8" t="n"/>
      <c r="N84" s="8" t="n"/>
      <c r="O84" s="8" t="n"/>
      <c r="P84" s="8" t="n"/>
      <c r="Q84" s="8" t="n"/>
    </row>
    <row r="85">
      <c r="A85" s="9" t="n"/>
      <c r="B85" s="8" t="n"/>
      <c r="C85" s="8" t="n"/>
      <c r="D85" s="8" t="n"/>
      <c r="E85" s="8" t="n"/>
      <c r="F85" s="8" t="n"/>
      <c r="G85" s="8" t="n"/>
      <c r="H85" s="8" t="n"/>
      <c r="I85" s="12" t="n"/>
      <c r="J85" s="15">
        <f>IFERROR(I85/G85,"")</f>
        <v/>
      </c>
      <c r="K85" s="8" t="n"/>
      <c r="L85" s="8" t="n"/>
      <c r="M85" s="8" t="n"/>
      <c r="N85" s="8" t="n"/>
      <c r="O85" s="8" t="n"/>
      <c r="P85" s="8" t="n"/>
      <c r="Q85" s="8" t="n"/>
    </row>
    <row r="86">
      <c r="A86" s="9" t="n"/>
      <c r="B86" s="8" t="n"/>
      <c r="C86" s="8" t="n"/>
      <c r="D86" s="8" t="n"/>
      <c r="E86" s="8" t="n"/>
      <c r="F86" s="8" t="n"/>
      <c r="G86" s="8" t="n"/>
      <c r="H86" s="8" t="n"/>
      <c r="I86" s="12" t="n"/>
      <c r="J86" s="15">
        <f>IFERROR(I86/G86,"")</f>
        <v/>
      </c>
      <c r="K86" s="8" t="n"/>
      <c r="L86" s="8" t="n"/>
      <c r="M86" s="8" t="n"/>
      <c r="N86" s="8" t="n"/>
      <c r="O86" s="8" t="n"/>
      <c r="P86" s="8" t="n"/>
      <c r="Q86" s="8" t="n"/>
    </row>
    <row r="87">
      <c r="A87" s="9" t="n"/>
      <c r="B87" s="8" t="n"/>
      <c r="C87" s="8" t="n"/>
      <c r="D87" s="8" t="n"/>
      <c r="E87" s="8" t="n"/>
      <c r="F87" s="8" t="n"/>
      <c r="G87" s="8" t="n"/>
      <c r="H87" s="8" t="n"/>
      <c r="I87" s="12" t="n"/>
      <c r="J87" s="15">
        <f>IFERROR(I87/G87,"")</f>
        <v/>
      </c>
      <c r="K87" s="8" t="n"/>
      <c r="L87" s="8" t="n"/>
      <c r="M87" s="8" t="n"/>
      <c r="N87" s="8" t="n"/>
      <c r="O87" s="8" t="n"/>
      <c r="P87" s="8" t="n"/>
      <c r="Q87" s="8" t="n"/>
    </row>
    <row r="88">
      <c r="A88" s="9" t="n"/>
      <c r="B88" s="8" t="n"/>
      <c r="C88" s="8" t="n"/>
      <c r="D88" s="8" t="n"/>
      <c r="E88" s="8" t="n"/>
      <c r="F88" s="8" t="n"/>
      <c r="G88" s="8" t="n"/>
      <c r="H88" s="8" t="n"/>
      <c r="I88" s="12" t="n"/>
      <c r="J88" s="15">
        <f>IFERROR(I88/G88,"")</f>
        <v/>
      </c>
      <c r="K88" s="8" t="n"/>
      <c r="L88" s="8" t="n"/>
      <c r="M88" s="8" t="n"/>
      <c r="N88" s="8" t="n"/>
      <c r="O88" s="8" t="n"/>
      <c r="P88" s="8" t="n"/>
      <c r="Q88" s="8" t="n"/>
    </row>
    <row r="89">
      <c r="A89" s="9" t="n"/>
      <c r="B89" s="8" t="n"/>
      <c r="C89" s="8" t="n"/>
      <c r="D89" s="8" t="n"/>
      <c r="E89" s="8" t="n"/>
      <c r="F89" s="8" t="n"/>
      <c r="G89" s="8" t="n"/>
      <c r="H89" s="8" t="n"/>
      <c r="I89" s="12" t="n"/>
      <c r="J89" s="15">
        <f>IFERROR(I89/G89,"")</f>
        <v/>
      </c>
      <c r="K89" s="8" t="n"/>
      <c r="L89" s="8" t="n"/>
      <c r="M89" s="8" t="n"/>
      <c r="N89" s="8" t="n"/>
      <c r="O89" s="8" t="n"/>
      <c r="P89" s="8" t="n"/>
      <c r="Q89" s="8" t="n"/>
    </row>
    <row r="90">
      <c r="A90" s="9" t="n"/>
      <c r="B90" s="8" t="n"/>
      <c r="C90" s="8" t="n"/>
      <c r="D90" s="8" t="n"/>
      <c r="E90" s="8" t="n"/>
      <c r="F90" s="8" t="n"/>
      <c r="G90" s="8" t="n"/>
      <c r="H90" s="8" t="n"/>
      <c r="I90" s="12" t="n"/>
      <c r="J90" s="15">
        <f>IFERROR(I90/G90,"")</f>
        <v/>
      </c>
      <c r="K90" s="8" t="n"/>
      <c r="L90" s="8" t="n"/>
      <c r="M90" s="8" t="n"/>
      <c r="N90" s="8" t="n"/>
      <c r="O90" s="8" t="n"/>
      <c r="P90" s="8" t="n"/>
      <c r="Q90" s="8" t="n"/>
    </row>
    <row r="91">
      <c r="A91" s="9" t="n"/>
      <c r="B91" s="8" t="n"/>
      <c r="C91" s="8" t="n"/>
      <c r="D91" s="8" t="n"/>
      <c r="E91" s="8" t="n"/>
      <c r="F91" s="8" t="n"/>
      <c r="G91" s="8" t="n"/>
      <c r="H91" s="8" t="n"/>
      <c r="I91" s="12" t="n"/>
      <c r="J91" s="15">
        <f>IFERROR(I91/G91,"")</f>
        <v/>
      </c>
      <c r="K91" s="8" t="n"/>
      <c r="L91" s="8" t="n"/>
      <c r="M91" s="8" t="n"/>
      <c r="N91" s="8" t="n"/>
      <c r="O91" s="8" t="n"/>
      <c r="P91" s="8" t="n"/>
      <c r="Q91" s="8" t="n"/>
    </row>
    <row r="92">
      <c r="A92" s="9" t="n"/>
      <c r="B92" s="8" t="n"/>
      <c r="C92" s="8" t="n"/>
      <c r="D92" s="8" t="n"/>
      <c r="E92" s="8" t="n"/>
      <c r="F92" s="8" t="n"/>
      <c r="G92" s="8" t="n"/>
      <c r="H92" s="8" t="n"/>
      <c r="I92" s="12" t="n"/>
      <c r="J92" s="15">
        <f>IFERROR(I92/G92,"")</f>
        <v/>
      </c>
      <c r="K92" s="8" t="n"/>
      <c r="L92" s="8" t="n"/>
      <c r="M92" s="8" t="n"/>
      <c r="N92" s="8" t="n"/>
      <c r="O92" s="8" t="n"/>
      <c r="P92" s="8" t="n"/>
      <c r="Q92" s="8" t="n"/>
    </row>
    <row r="93">
      <c r="A93" s="9" t="n"/>
      <c r="B93" s="8" t="n"/>
      <c r="C93" s="8" t="n"/>
      <c r="D93" s="8" t="n"/>
      <c r="E93" s="8" t="n"/>
      <c r="F93" s="8" t="n"/>
      <c r="G93" s="8" t="n"/>
      <c r="H93" s="8" t="n"/>
      <c r="I93" s="12" t="n"/>
      <c r="J93" s="15">
        <f>IFERROR(I93/G93,"")</f>
        <v/>
      </c>
      <c r="K93" s="8" t="n"/>
      <c r="L93" s="8" t="n"/>
      <c r="M93" s="8" t="n"/>
      <c r="N93" s="8" t="n"/>
      <c r="O93" s="8" t="n"/>
      <c r="P93" s="8" t="n"/>
      <c r="Q93" s="8" t="n"/>
    </row>
    <row r="94">
      <c r="A94" s="9" t="n"/>
      <c r="B94" s="8" t="n"/>
      <c r="C94" s="8" t="n"/>
      <c r="D94" s="8" t="n"/>
      <c r="E94" s="8" t="n"/>
      <c r="F94" s="8" t="n"/>
      <c r="G94" s="8" t="n"/>
      <c r="H94" s="8" t="n"/>
      <c r="I94" s="12" t="n"/>
      <c r="J94" s="15">
        <f>IFERROR(I94/G94,"")</f>
        <v/>
      </c>
      <c r="K94" s="8" t="n"/>
      <c r="L94" s="8" t="n"/>
      <c r="M94" s="8" t="n"/>
      <c r="N94" s="8" t="n"/>
      <c r="O94" s="8" t="n"/>
      <c r="P94" s="8" t="n"/>
      <c r="Q94" s="8" t="n"/>
    </row>
    <row r="95">
      <c r="A95" s="9" t="n"/>
      <c r="B95" s="8" t="n"/>
      <c r="C95" s="8" t="n"/>
      <c r="D95" s="8" t="n"/>
      <c r="E95" s="8" t="n"/>
      <c r="F95" s="8" t="n"/>
      <c r="G95" s="8" t="n"/>
      <c r="H95" s="8" t="n"/>
      <c r="I95" s="12" t="n"/>
      <c r="J95" s="15">
        <f>IFERROR(I95/G95,"")</f>
        <v/>
      </c>
      <c r="K95" s="8" t="n"/>
      <c r="L95" s="8" t="n"/>
      <c r="M95" s="8" t="n"/>
      <c r="N95" s="8" t="n"/>
      <c r="O95" s="8" t="n"/>
      <c r="P95" s="8" t="n"/>
      <c r="Q95" s="8" t="n"/>
    </row>
    <row r="96">
      <c r="A96" s="9" t="n"/>
      <c r="B96" s="8" t="n"/>
      <c r="C96" s="8" t="n"/>
      <c r="D96" s="8" t="n"/>
      <c r="E96" s="8" t="n"/>
      <c r="F96" s="8" t="n"/>
      <c r="G96" s="8" t="n"/>
      <c r="H96" s="8" t="n"/>
      <c r="I96" s="12" t="n"/>
      <c r="J96" s="15">
        <f>IFERROR(I96/G96,"")</f>
        <v/>
      </c>
      <c r="K96" s="8" t="n"/>
      <c r="L96" s="8" t="n"/>
      <c r="M96" s="8" t="n"/>
      <c r="N96" s="8" t="n"/>
      <c r="O96" s="8" t="n"/>
      <c r="P96" s="8" t="n"/>
      <c r="Q96" s="8" t="n"/>
    </row>
    <row r="97">
      <c r="A97" s="9" t="n"/>
      <c r="B97" s="8" t="n"/>
      <c r="C97" s="8" t="n"/>
      <c r="D97" s="8" t="n"/>
      <c r="E97" s="8" t="n"/>
      <c r="F97" s="8" t="n"/>
      <c r="G97" s="8" t="n"/>
      <c r="H97" s="8" t="n"/>
      <c r="I97" s="12" t="n"/>
      <c r="J97" s="15">
        <f>IFERROR(I97/G97,"")</f>
        <v/>
      </c>
      <c r="K97" s="8" t="n"/>
      <c r="L97" s="8" t="n"/>
      <c r="M97" s="8" t="n"/>
      <c r="N97" s="8" t="n"/>
      <c r="O97" s="8" t="n"/>
      <c r="P97" s="8" t="n"/>
      <c r="Q97" s="8" t="n"/>
    </row>
    <row r="98">
      <c r="A98" s="9" t="n"/>
      <c r="B98" s="8" t="n"/>
      <c r="C98" s="8" t="n"/>
      <c r="D98" s="8" t="n"/>
      <c r="E98" s="8" t="n"/>
      <c r="F98" s="8" t="n"/>
      <c r="G98" s="8" t="n"/>
      <c r="H98" s="8" t="n"/>
      <c r="I98" s="12" t="n"/>
      <c r="J98" s="15">
        <f>IFERROR(I98/G98,"")</f>
        <v/>
      </c>
      <c r="K98" s="8" t="n"/>
      <c r="L98" s="8" t="n"/>
      <c r="M98" s="8" t="n"/>
      <c r="N98" s="8" t="n"/>
      <c r="O98" s="8" t="n"/>
      <c r="P98" s="8" t="n"/>
      <c r="Q98" s="8" t="n"/>
    </row>
    <row r="99">
      <c r="A99" s="9" t="n"/>
      <c r="B99" s="8" t="n"/>
      <c r="C99" s="8" t="n"/>
      <c r="D99" s="8" t="n"/>
      <c r="E99" s="8" t="n"/>
      <c r="F99" s="8" t="n"/>
      <c r="G99" s="8" t="n"/>
      <c r="H99" s="8" t="n"/>
      <c r="I99" s="12" t="n"/>
      <c r="J99" s="15">
        <f>IFERROR(I99/G99,"")</f>
        <v/>
      </c>
      <c r="K99" s="8" t="n"/>
      <c r="L99" s="8" t="n"/>
      <c r="M99" s="8" t="n"/>
      <c r="N99" s="8" t="n"/>
      <c r="O99" s="8" t="n"/>
      <c r="P99" s="8" t="n"/>
      <c r="Q99" s="8" t="n"/>
    </row>
    <row r="100">
      <c r="A100" s="9" t="n"/>
      <c r="B100" s="8" t="n"/>
      <c r="C100" s="8" t="n"/>
      <c r="D100" s="8" t="n"/>
      <c r="E100" s="8" t="n"/>
      <c r="F100" s="8" t="n"/>
      <c r="G100" s="8" t="n"/>
      <c r="H100" s="8" t="n"/>
      <c r="I100" s="12" t="n"/>
      <c r="J100" s="15">
        <f>IFERROR(I100/G100,"")</f>
        <v/>
      </c>
      <c r="K100" s="8" t="n"/>
      <c r="L100" s="8" t="n"/>
      <c r="M100" s="8" t="n"/>
      <c r="N100" s="8" t="n"/>
      <c r="O100" s="8" t="n"/>
      <c r="P100" s="8" t="n"/>
      <c r="Q100" s="8" t="n"/>
    </row>
    <row r="101">
      <c r="A101" s="9" t="n"/>
      <c r="B101" s="8" t="n"/>
      <c r="C101" s="8" t="n"/>
      <c r="D101" s="8" t="n"/>
      <c r="E101" s="8" t="n"/>
      <c r="F101" s="8" t="n"/>
      <c r="G101" s="8" t="n"/>
      <c r="H101" s="8" t="n"/>
      <c r="I101" s="12" t="n"/>
      <c r="J101" s="15">
        <f>IFERROR(I101/G101,"")</f>
        <v/>
      </c>
      <c r="K101" s="8" t="n"/>
      <c r="L101" s="8" t="n"/>
      <c r="M101" s="8" t="n"/>
      <c r="N101" s="8" t="n"/>
      <c r="O101" s="8" t="n"/>
      <c r="P101" s="8" t="n"/>
      <c r="Q101" s="8" t="n"/>
    </row>
    <row r="102">
      <c r="A102" s="9" t="n"/>
      <c r="B102" s="8" t="n"/>
      <c r="C102" s="8" t="n"/>
      <c r="D102" s="8" t="n"/>
      <c r="E102" s="8" t="n"/>
      <c r="F102" s="8" t="n"/>
      <c r="G102" s="8" t="n"/>
      <c r="H102" s="8" t="n"/>
      <c r="I102" s="12" t="n"/>
      <c r="J102" s="15">
        <f>IFERROR(I102/G102,"")</f>
        <v/>
      </c>
      <c r="K102" s="8" t="n"/>
      <c r="L102" s="8" t="n"/>
      <c r="M102" s="8" t="n"/>
      <c r="N102" s="8" t="n"/>
      <c r="O102" s="8" t="n"/>
      <c r="P102" s="8" t="n"/>
      <c r="Q102" s="8" t="n"/>
    </row>
    <row r="103">
      <c r="A103" s="9" t="n"/>
      <c r="B103" s="8" t="n"/>
      <c r="C103" s="8" t="n"/>
      <c r="D103" s="8" t="n"/>
      <c r="E103" s="8" t="n"/>
      <c r="F103" s="8" t="n"/>
      <c r="G103" s="8" t="n"/>
      <c r="H103" s="8" t="n"/>
      <c r="I103" s="12" t="n"/>
      <c r="J103" s="15">
        <f>IFERROR(I103/G103,"")</f>
        <v/>
      </c>
      <c r="K103" s="8" t="n"/>
      <c r="L103" s="8" t="n"/>
      <c r="M103" s="8" t="n"/>
      <c r="N103" s="8" t="n"/>
      <c r="O103" s="8" t="n"/>
      <c r="P103" s="8" t="n"/>
      <c r="Q103" s="8" t="n"/>
    </row>
    <row r="104">
      <c r="A104" s="9" t="n"/>
      <c r="B104" s="8" t="n"/>
      <c r="C104" s="8" t="n"/>
      <c r="D104" s="8" t="n"/>
      <c r="E104" s="8" t="n"/>
      <c r="F104" s="8" t="n"/>
      <c r="G104" s="8" t="n"/>
      <c r="H104" s="8" t="n"/>
      <c r="I104" s="12" t="n"/>
      <c r="J104" s="15">
        <f>IFERROR(I104/G104,"")</f>
        <v/>
      </c>
      <c r="K104" s="8" t="n"/>
      <c r="L104" s="8" t="n"/>
      <c r="M104" s="8" t="n"/>
      <c r="N104" s="8" t="n"/>
      <c r="O104" s="8" t="n"/>
      <c r="P104" s="8" t="n"/>
      <c r="Q104" s="8" t="n"/>
    </row>
    <row r="105">
      <c r="A105" s="9" t="n"/>
      <c r="B105" s="8" t="n"/>
      <c r="C105" s="8" t="n"/>
      <c r="D105" s="8" t="n"/>
      <c r="E105" s="8" t="n"/>
      <c r="F105" s="8" t="n"/>
      <c r="G105" s="8" t="n"/>
      <c r="H105" s="8" t="n"/>
      <c r="I105" s="12" t="n"/>
      <c r="J105" s="15">
        <f>IFERROR(I105/G105,"")</f>
        <v/>
      </c>
      <c r="K105" s="8" t="n"/>
      <c r="L105" s="8" t="n"/>
      <c r="M105" s="8" t="n"/>
      <c r="N105" s="8" t="n"/>
      <c r="O105" s="8" t="n"/>
      <c r="P105" s="8" t="n"/>
      <c r="Q105" s="8" t="n"/>
    </row>
    <row r="106">
      <c r="A106" s="9" t="n"/>
      <c r="B106" s="8" t="n"/>
      <c r="C106" s="8" t="n"/>
      <c r="D106" s="8" t="n"/>
      <c r="E106" s="8" t="n"/>
      <c r="F106" s="8" t="n"/>
      <c r="G106" s="8" t="n"/>
      <c r="H106" s="8" t="n"/>
      <c r="I106" s="12" t="n"/>
      <c r="J106" s="15">
        <f>IFERROR(I106/G106,"")</f>
        <v/>
      </c>
      <c r="K106" s="8" t="n"/>
      <c r="L106" s="8" t="n"/>
      <c r="M106" s="8" t="n"/>
      <c r="N106" s="8" t="n"/>
      <c r="O106" s="8" t="n"/>
      <c r="P106" s="8" t="n"/>
      <c r="Q106" s="8" t="n"/>
    </row>
    <row r="107">
      <c r="A107" s="9" t="n"/>
      <c r="B107" s="8" t="n"/>
      <c r="C107" s="8" t="n"/>
      <c r="D107" s="8" t="n"/>
      <c r="E107" s="8" t="n"/>
      <c r="F107" s="8" t="n"/>
      <c r="G107" s="8" t="n"/>
      <c r="H107" s="8" t="n"/>
      <c r="I107" s="12" t="n"/>
      <c r="J107" s="15">
        <f>IFERROR(I107/G107,"")</f>
        <v/>
      </c>
      <c r="K107" s="8" t="n"/>
      <c r="L107" s="8" t="n"/>
      <c r="M107" s="8" t="n"/>
      <c r="N107" s="8" t="n"/>
      <c r="O107" s="8" t="n"/>
      <c r="P107" s="8" t="n"/>
      <c r="Q107" s="8" t="n"/>
    </row>
    <row r="108">
      <c r="A108" s="9" t="n"/>
      <c r="B108" s="8" t="n"/>
      <c r="C108" s="8" t="n"/>
      <c r="D108" s="8" t="n"/>
      <c r="E108" s="8" t="n"/>
      <c r="F108" s="8" t="n"/>
      <c r="G108" s="8" t="n"/>
      <c r="H108" s="8" t="n"/>
      <c r="I108" s="12" t="n"/>
      <c r="J108" s="15">
        <f>IFERROR(I108/G108,"")</f>
        <v/>
      </c>
      <c r="K108" s="8" t="n"/>
      <c r="L108" s="8" t="n"/>
      <c r="M108" s="8" t="n"/>
      <c r="N108" s="8" t="n"/>
      <c r="O108" s="8" t="n"/>
      <c r="P108" s="8" t="n"/>
      <c r="Q108" s="8" t="n"/>
    </row>
    <row r="109">
      <c r="A109" s="9" t="n"/>
      <c r="B109" s="8" t="n"/>
      <c r="C109" s="8" t="n"/>
      <c r="D109" s="8" t="n"/>
      <c r="E109" s="8" t="n"/>
      <c r="F109" s="8" t="n"/>
      <c r="G109" s="8" t="n"/>
      <c r="H109" s="8" t="n"/>
      <c r="I109" s="12" t="n"/>
      <c r="J109" s="15">
        <f>IFERROR(I109/G109,"")</f>
        <v/>
      </c>
      <c r="K109" s="8" t="n"/>
      <c r="L109" s="8" t="n"/>
      <c r="M109" s="8" t="n"/>
      <c r="N109" s="8" t="n"/>
      <c r="O109" s="8" t="n"/>
      <c r="P109" s="8" t="n"/>
      <c r="Q109" s="8" t="n"/>
    </row>
    <row r="110">
      <c r="A110" s="9" t="n"/>
      <c r="B110" s="8" t="n"/>
      <c r="C110" s="8" t="n"/>
      <c r="D110" s="8" t="n"/>
      <c r="E110" s="8" t="n"/>
      <c r="F110" s="8" t="n"/>
      <c r="G110" s="8" t="n"/>
      <c r="H110" s="8" t="n"/>
      <c r="I110" s="12" t="n"/>
      <c r="J110" s="15">
        <f>IFERROR(I110/G110,"")</f>
        <v/>
      </c>
      <c r="K110" s="8" t="n"/>
      <c r="L110" s="8" t="n"/>
      <c r="M110" s="8" t="n"/>
      <c r="N110" s="8" t="n"/>
      <c r="O110" s="8" t="n"/>
      <c r="P110" s="8" t="n"/>
      <c r="Q110" s="8" t="n"/>
    </row>
    <row r="111">
      <c r="A111" s="9" t="n"/>
      <c r="B111" s="8" t="n"/>
      <c r="C111" s="8" t="n"/>
      <c r="D111" s="8" t="n"/>
      <c r="E111" s="8" t="n"/>
      <c r="F111" s="8" t="n"/>
      <c r="G111" s="8" t="n"/>
      <c r="H111" s="8" t="n"/>
      <c r="I111" s="12" t="n"/>
      <c r="J111" s="15">
        <f>IFERROR(I111/G111,"")</f>
        <v/>
      </c>
      <c r="K111" s="8" t="n"/>
      <c r="L111" s="8" t="n"/>
      <c r="M111" s="8" t="n"/>
      <c r="N111" s="8" t="n"/>
      <c r="O111" s="8" t="n"/>
      <c r="P111" s="8" t="n"/>
      <c r="Q111" s="8" t="n"/>
    </row>
    <row r="112">
      <c r="A112" s="9" t="n"/>
      <c r="B112" s="8" t="n"/>
      <c r="C112" s="8" t="n"/>
      <c r="D112" s="8" t="n"/>
      <c r="E112" s="8" t="n"/>
      <c r="F112" s="8" t="n"/>
      <c r="G112" s="8" t="n"/>
      <c r="H112" s="8" t="n"/>
      <c r="I112" s="12" t="n"/>
      <c r="J112" s="15">
        <f>IFERROR(I112/G112,"")</f>
        <v/>
      </c>
      <c r="K112" s="8" t="n"/>
      <c r="L112" s="8" t="n"/>
      <c r="M112" s="8" t="n"/>
      <c r="N112" s="8" t="n"/>
      <c r="O112" s="8" t="n"/>
      <c r="P112" s="8" t="n"/>
      <c r="Q112" s="8" t="n"/>
    </row>
    <row r="113">
      <c r="A113" s="9" t="n"/>
      <c r="B113" s="8" t="n"/>
      <c r="C113" s="8" t="n"/>
      <c r="D113" s="8" t="n"/>
      <c r="E113" s="8" t="n"/>
      <c r="F113" s="8" t="n"/>
      <c r="G113" s="8" t="n"/>
      <c r="H113" s="8" t="n"/>
      <c r="I113" s="12" t="n"/>
      <c r="J113" s="15">
        <f>IFERROR(I113/G113,"")</f>
        <v/>
      </c>
      <c r="K113" s="8" t="n"/>
      <c r="L113" s="8" t="n"/>
      <c r="M113" s="8" t="n"/>
      <c r="N113" s="8" t="n"/>
      <c r="O113" s="8" t="n"/>
      <c r="P113" s="8" t="n"/>
      <c r="Q113" s="8" t="n"/>
    </row>
    <row r="114">
      <c r="A114" s="9" t="n"/>
      <c r="B114" s="8" t="n"/>
      <c r="C114" s="8" t="n"/>
      <c r="D114" s="8" t="n"/>
      <c r="E114" s="8" t="n"/>
      <c r="F114" s="8" t="n"/>
      <c r="G114" s="8" t="n"/>
      <c r="H114" s="8" t="n"/>
      <c r="I114" s="12" t="n"/>
      <c r="J114" s="15">
        <f>IFERROR(I114/G114,"")</f>
        <v/>
      </c>
      <c r="K114" s="8" t="n"/>
      <c r="L114" s="8" t="n"/>
      <c r="M114" s="8" t="n"/>
      <c r="N114" s="8" t="n"/>
      <c r="O114" s="8" t="n"/>
      <c r="P114" s="8" t="n"/>
      <c r="Q114" s="8" t="n"/>
    </row>
    <row r="115">
      <c r="A115" s="9" t="n"/>
      <c r="B115" s="8" t="n"/>
      <c r="C115" s="8" t="n"/>
      <c r="D115" s="8" t="n"/>
      <c r="E115" s="8" t="n"/>
      <c r="F115" s="8" t="n"/>
      <c r="G115" s="8" t="n"/>
      <c r="H115" s="8" t="n"/>
      <c r="I115" s="12" t="n"/>
      <c r="J115" s="15">
        <f>IFERROR(I115/G115,"")</f>
        <v/>
      </c>
      <c r="K115" s="8" t="n"/>
      <c r="L115" s="8" t="n"/>
      <c r="M115" s="8" t="n"/>
      <c r="N115" s="8" t="n"/>
      <c r="O115" s="8" t="n"/>
      <c r="P115" s="8" t="n"/>
      <c r="Q115" s="8" t="n"/>
    </row>
    <row r="116">
      <c r="A116" s="9" t="n"/>
      <c r="B116" s="8" t="n"/>
      <c r="C116" s="8" t="n"/>
      <c r="D116" s="8" t="n"/>
      <c r="E116" s="8" t="n"/>
      <c r="F116" s="8" t="n"/>
      <c r="G116" s="8" t="n"/>
      <c r="H116" s="8" t="n"/>
      <c r="I116" s="12" t="n"/>
      <c r="J116" s="15">
        <f>IFERROR(I116/G116,"")</f>
        <v/>
      </c>
      <c r="K116" s="8" t="n"/>
      <c r="L116" s="8" t="n"/>
      <c r="M116" s="8" t="n"/>
      <c r="N116" s="8" t="n"/>
      <c r="O116" s="8" t="n"/>
      <c r="P116" s="8" t="n"/>
      <c r="Q116" s="8" t="n"/>
    </row>
    <row r="117">
      <c r="A117" s="9" t="n"/>
      <c r="B117" s="8" t="n"/>
      <c r="C117" s="8" t="n"/>
      <c r="D117" s="8" t="n"/>
      <c r="E117" s="8" t="n"/>
      <c r="F117" s="8" t="n"/>
      <c r="G117" s="8" t="n"/>
      <c r="H117" s="8" t="n"/>
      <c r="I117" s="12" t="n"/>
      <c r="J117" s="15">
        <f>IFERROR(I117/G117,"")</f>
        <v/>
      </c>
      <c r="K117" s="8" t="n"/>
      <c r="L117" s="8" t="n"/>
      <c r="M117" s="8" t="n"/>
      <c r="N117" s="8" t="n"/>
      <c r="O117" s="8" t="n"/>
      <c r="P117" s="8" t="n"/>
      <c r="Q117" s="8" t="n"/>
    </row>
    <row r="118">
      <c r="A118" s="9" t="n"/>
      <c r="B118" s="8" t="n"/>
      <c r="C118" s="8" t="n"/>
      <c r="D118" s="8" t="n"/>
      <c r="E118" s="8" t="n"/>
      <c r="F118" s="8" t="n"/>
      <c r="G118" s="8" t="n"/>
      <c r="H118" s="8" t="n"/>
      <c r="I118" s="12" t="n"/>
      <c r="J118" s="15">
        <f>IFERROR(I118/G118,"")</f>
        <v/>
      </c>
      <c r="K118" s="8" t="n"/>
      <c r="L118" s="8" t="n"/>
      <c r="M118" s="8" t="n"/>
      <c r="N118" s="8" t="n"/>
      <c r="O118" s="8" t="n"/>
      <c r="P118" s="8" t="n"/>
      <c r="Q118" s="8" t="n"/>
    </row>
    <row r="119">
      <c r="A119" s="9" t="n"/>
      <c r="B119" s="8" t="n"/>
      <c r="C119" s="8" t="n"/>
      <c r="D119" s="8" t="n"/>
      <c r="E119" s="8" t="n"/>
      <c r="F119" s="8" t="n"/>
      <c r="G119" s="8" t="n"/>
      <c r="H119" s="8" t="n"/>
      <c r="I119" s="12" t="n"/>
      <c r="J119" s="15">
        <f>IFERROR(I119/G119,"")</f>
        <v/>
      </c>
      <c r="K119" s="8" t="n"/>
      <c r="L119" s="8" t="n"/>
      <c r="M119" s="8" t="n"/>
      <c r="N119" s="8" t="n"/>
      <c r="O119" s="8" t="n"/>
      <c r="P119" s="8" t="n"/>
      <c r="Q119" s="8" t="n"/>
    </row>
    <row r="120">
      <c r="A120" s="9" t="n"/>
      <c r="B120" s="8" t="n"/>
      <c r="C120" s="8" t="n"/>
      <c r="D120" s="8" t="n"/>
      <c r="E120" s="8" t="n"/>
      <c r="F120" s="8" t="n"/>
      <c r="G120" s="8" t="n"/>
      <c r="H120" s="8" t="n"/>
      <c r="I120" s="12" t="n"/>
      <c r="J120" s="15">
        <f>IFERROR(I120/G120,"")</f>
        <v/>
      </c>
      <c r="K120" s="8" t="n"/>
      <c r="L120" s="8" t="n"/>
      <c r="M120" s="8" t="n"/>
      <c r="N120" s="8" t="n"/>
      <c r="O120" s="8" t="n"/>
      <c r="P120" s="8" t="n"/>
      <c r="Q120" s="8" t="n"/>
    </row>
    <row r="121">
      <c r="A121" s="9" t="n"/>
      <c r="B121" s="8" t="n"/>
      <c r="C121" s="8" t="n"/>
      <c r="D121" s="8" t="n"/>
      <c r="E121" s="8" t="n"/>
      <c r="F121" s="8" t="n"/>
      <c r="G121" s="8" t="n"/>
      <c r="H121" s="8" t="n"/>
      <c r="I121" s="12" t="n"/>
      <c r="J121" s="15">
        <f>IFERROR(I121/G121,"")</f>
        <v/>
      </c>
      <c r="K121" s="8" t="n"/>
      <c r="L121" s="8" t="n"/>
      <c r="M121" s="8" t="n"/>
      <c r="N121" s="8" t="n"/>
      <c r="O121" s="8" t="n"/>
      <c r="P121" s="8" t="n"/>
      <c r="Q121" s="8" t="n"/>
    </row>
    <row r="122">
      <c r="A122" s="9" t="n"/>
      <c r="B122" s="8" t="n"/>
      <c r="C122" s="8" t="n"/>
      <c r="D122" s="8" t="n"/>
      <c r="E122" s="8" t="n"/>
      <c r="F122" s="8" t="n"/>
      <c r="G122" s="8" t="n"/>
      <c r="H122" s="8" t="n"/>
      <c r="I122" s="12" t="n"/>
      <c r="J122" s="15">
        <f>IFERROR(I122/G122,"")</f>
        <v/>
      </c>
      <c r="K122" s="8" t="n"/>
      <c r="L122" s="8" t="n"/>
      <c r="M122" s="8" t="n"/>
      <c r="N122" s="8" t="n"/>
      <c r="O122" s="8" t="n"/>
      <c r="P122" s="8" t="n"/>
      <c r="Q122" s="8" t="n"/>
    </row>
    <row r="123">
      <c r="A123" s="9" t="n"/>
      <c r="B123" s="8" t="n"/>
      <c r="C123" s="8" t="n"/>
      <c r="D123" s="8" t="n"/>
      <c r="E123" s="8" t="n"/>
      <c r="F123" s="8" t="n"/>
      <c r="G123" s="8" t="n"/>
      <c r="H123" s="8" t="n"/>
      <c r="I123" s="12" t="n"/>
      <c r="J123" s="15">
        <f>IFERROR(I123/G123,"")</f>
        <v/>
      </c>
      <c r="K123" s="8" t="n"/>
      <c r="L123" s="8" t="n"/>
      <c r="M123" s="8" t="n"/>
      <c r="N123" s="8" t="n"/>
      <c r="O123" s="8" t="n"/>
      <c r="P123" s="8" t="n"/>
      <c r="Q123" s="8" t="n"/>
    </row>
    <row r="124">
      <c r="A124" s="9" t="n"/>
      <c r="B124" s="8" t="n"/>
      <c r="C124" s="8" t="n"/>
      <c r="D124" s="8" t="n"/>
      <c r="E124" s="8" t="n"/>
      <c r="F124" s="8" t="n"/>
      <c r="G124" s="8" t="n"/>
      <c r="H124" s="8" t="n"/>
      <c r="I124" s="12" t="n"/>
      <c r="J124" s="15">
        <f>IFERROR(I124/G124,"")</f>
        <v/>
      </c>
      <c r="K124" s="8" t="n"/>
      <c r="L124" s="8" t="n"/>
      <c r="M124" s="8" t="n"/>
      <c r="N124" s="8" t="n"/>
      <c r="O124" s="8" t="n"/>
      <c r="P124" s="8" t="n"/>
      <c r="Q124" s="8" t="n"/>
    </row>
    <row r="125">
      <c r="A125" s="9" t="n"/>
      <c r="B125" s="8" t="n"/>
      <c r="C125" s="8" t="n"/>
      <c r="D125" s="8" t="n"/>
      <c r="E125" s="8" t="n"/>
      <c r="F125" s="8" t="n"/>
      <c r="G125" s="8" t="n"/>
      <c r="H125" s="8" t="n"/>
      <c r="I125" s="12" t="n"/>
      <c r="J125" s="15">
        <f>IFERROR(I125/G125,"")</f>
        <v/>
      </c>
      <c r="K125" s="8" t="n"/>
      <c r="L125" s="8" t="n"/>
      <c r="M125" s="8" t="n"/>
      <c r="N125" s="8" t="n"/>
      <c r="O125" s="8" t="n"/>
      <c r="P125" s="8" t="n"/>
      <c r="Q125" s="8" t="n"/>
    </row>
    <row r="126">
      <c r="A126" s="9" t="n"/>
      <c r="B126" s="8" t="n"/>
      <c r="C126" s="8" t="n"/>
      <c r="D126" s="8" t="n"/>
      <c r="E126" s="8" t="n"/>
      <c r="F126" s="8" t="n"/>
      <c r="G126" s="8" t="n"/>
      <c r="H126" s="8" t="n"/>
      <c r="I126" s="12" t="n"/>
      <c r="J126" s="15">
        <f>IFERROR(I126/G126,"")</f>
        <v/>
      </c>
      <c r="K126" s="8" t="n"/>
      <c r="L126" s="8" t="n"/>
      <c r="M126" s="8" t="n"/>
      <c r="N126" s="8" t="n"/>
      <c r="O126" s="8" t="n"/>
      <c r="P126" s="8" t="n"/>
      <c r="Q126" s="8" t="n"/>
    </row>
    <row r="127">
      <c r="A127" s="9" t="n"/>
      <c r="B127" s="8" t="n"/>
      <c r="C127" s="8" t="n"/>
      <c r="D127" s="8" t="n"/>
      <c r="E127" s="8" t="n"/>
      <c r="F127" s="8" t="n"/>
      <c r="G127" s="8" t="n"/>
      <c r="H127" s="8" t="n"/>
      <c r="I127" s="12" t="n"/>
      <c r="J127" s="15">
        <f>IFERROR(I127/G127,"")</f>
        <v/>
      </c>
      <c r="K127" s="8" t="n"/>
      <c r="L127" s="8" t="n"/>
      <c r="M127" s="8" t="n"/>
      <c r="N127" s="8" t="n"/>
      <c r="O127" s="8" t="n"/>
      <c r="P127" s="8" t="n"/>
      <c r="Q127" s="8" t="n"/>
    </row>
    <row r="128">
      <c r="A128" s="9" t="n"/>
      <c r="B128" s="8" t="n"/>
      <c r="C128" s="8" t="n"/>
      <c r="D128" s="8" t="n"/>
      <c r="E128" s="8" t="n"/>
      <c r="F128" s="8" t="n"/>
      <c r="G128" s="8" t="n"/>
      <c r="H128" s="8" t="n"/>
      <c r="I128" s="12" t="n"/>
      <c r="J128" s="15">
        <f>IFERROR(I128/G128,"")</f>
        <v/>
      </c>
      <c r="K128" s="8" t="n"/>
      <c r="L128" s="8" t="n"/>
      <c r="M128" s="8" t="n"/>
      <c r="N128" s="8" t="n"/>
      <c r="O128" s="8" t="n"/>
      <c r="P128" s="8" t="n"/>
      <c r="Q128" s="8" t="n"/>
    </row>
    <row r="129">
      <c r="A129" s="9" t="n"/>
      <c r="B129" s="8" t="n"/>
      <c r="C129" s="8" t="n"/>
      <c r="D129" s="8" t="n"/>
      <c r="E129" s="8" t="n"/>
      <c r="F129" s="8" t="n"/>
      <c r="G129" s="8" t="n"/>
      <c r="H129" s="8" t="n"/>
      <c r="I129" s="12" t="n"/>
      <c r="J129" s="15">
        <f>IFERROR(I129/G129,"")</f>
        <v/>
      </c>
      <c r="K129" s="8" t="n"/>
      <c r="L129" s="8" t="n"/>
      <c r="M129" s="8" t="n"/>
      <c r="N129" s="8" t="n"/>
      <c r="O129" s="8" t="n"/>
      <c r="P129" s="8" t="n"/>
      <c r="Q129" s="8" t="n"/>
    </row>
    <row r="130">
      <c r="A130" s="9" t="n"/>
      <c r="B130" s="8" t="n"/>
      <c r="C130" s="8" t="n"/>
      <c r="D130" s="8" t="n"/>
      <c r="E130" s="8" t="n"/>
      <c r="F130" s="8" t="n"/>
      <c r="G130" s="8" t="n"/>
      <c r="H130" s="8" t="n"/>
      <c r="I130" s="12" t="n"/>
      <c r="J130" s="15">
        <f>IFERROR(I130/G130,"")</f>
        <v/>
      </c>
      <c r="K130" s="8" t="n"/>
      <c r="L130" s="8" t="n"/>
      <c r="M130" s="8" t="n"/>
      <c r="N130" s="8" t="n"/>
      <c r="O130" s="8" t="n"/>
      <c r="P130" s="8" t="n"/>
      <c r="Q130" s="8" t="n"/>
    </row>
    <row r="131">
      <c r="A131" s="9" t="n"/>
      <c r="B131" s="8" t="n"/>
      <c r="C131" s="8" t="n"/>
      <c r="D131" s="8" t="n"/>
      <c r="E131" s="8" t="n"/>
      <c r="F131" s="8" t="n"/>
      <c r="G131" s="8" t="n"/>
      <c r="H131" s="8" t="n"/>
      <c r="I131" s="12" t="n"/>
      <c r="J131" s="15">
        <f>IFERROR(I131/G131,"")</f>
        <v/>
      </c>
      <c r="K131" s="8" t="n"/>
      <c r="L131" s="8" t="n"/>
      <c r="M131" s="8" t="n"/>
      <c r="N131" s="8" t="n"/>
      <c r="O131" s="8" t="n"/>
      <c r="P131" s="8" t="n"/>
      <c r="Q131" s="8" t="n"/>
    </row>
    <row r="132">
      <c r="A132" s="9" t="n"/>
      <c r="B132" s="8" t="n"/>
      <c r="C132" s="8" t="n"/>
      <c r="D132" s="8" t="n"/>
      <c r="E132" s="8" t="n"/>
      <c r="F132" s="8" t="n"/>
      <c r="G132" s="8" t="n"/>
      <c r="H132" s="8" t="n"/>
      <c r="I132" s="12" t="n"/>
      <c r="J132" s="15">
        <f>IFERROR(I132/G132,"")</f>
        <v/>
      </c>
      <c r="K132" s="8" t="n"/>
      <c r="L132" s="8" t="n"/>
      <c r="M132" s="8" t="n"/>
      <c r="N132" s="8" t="n"/>
      <c r="O132" s="8" t="n"/>
      <c r="P132" s="8" t="n"/>
      <c r="Q132" s="8" t="n"/>
    </row>
    <row r="133">
      <c r="A133" s="9" t="n"/>
      <c r="B133" s="8" t="n"/>
      <c r="C133" s="8" t="n"/>
      <c r="D133" s="8" t="n"/>
      <c r="E133" s="8" t="n"/>
      <c r="F133" s="8" t="n"/>
      <c r="G133" s="8" t="n"/>
      <c r="H133" s="8" t="n"/>
      <c r="I133" s="12" t="n"/>
      <c r="J133" s="15">
        <f>IFERROR(I133/G133,"")</f>
        <v/>
      </c>
      <c r="K133" s="8" t="n"/>
      <c r="L133" s="8" t="n"/>
      <c r="M133" s="8" t="n"/>
      <c r="N133" s="8" t="n"/>
      <c r="O133" s="8" t="n"/>
      <c r="P133" s="8" t="n"/>
      <c r="Q133" s="8" t="n"/>
    </row>
    <row r="134">
      <c r="A134" s="9" t="n"/>
      <c r="B134" s="8" t="n"/>
      <c r="C134" s="8" t="n"/>
      <c r="D134" s="8" t="n"/>
      <c r="E134" s="8" t="n"/>
      <c r="F134" s="8" t="n"/>
      <c r="G134" s="8" t="n"/>
      <c r="H134" s="8" t="n"/>
      <c r="I134" s="12" t="n"/>
      <c r="J134" s="15">
        <f>IFERROR(I134/G134,"")</f>
        <v/>
      </c>
      <c r="K134" s="8" t="n"/>
      <c r="L134" s="8" t="n"/>
      <c r="M134" s="8" t="n"/>
      <c r="N134" s="8" t="n"/>
      <c r="O134" s="8" t="n"/>
      <c r="P134" s="8" t="n"/>
      <c r="Q134" s="8" t="n"/>
    </row>
    <row r="135">
      <c r="A135" s="9" t="n"/>
      <c r="B135" s="8" t="n"/>
      <c r="C135" s="8" t="n"/>
      <c r="D135" s="8" t="n"/>
      <c r="E135" s="8" t="n"/>
      <c r="F135" s="8" t="n"/>
      <c r="G135" s="8" t="n"/>
      <c r="H135" s="8" t="n"/>
      <c r="I135" s="12" t="n"/>
      <c r="J135" s="15">
        <f>IFERROR(I135/G135,"")</f>
        <v/>
      </c>
      <c r="K135" s="8" t="n"/>
      <c r="L135" s="8" t="n"/>
      <c r="M135" s="8" t="n"/>
      <c r="N135" s="8" t="n"/>
      <c r="O135" s="8" t="n"/>
      <c r="P135" s="8" t="n"/>
      <c r="Q135" s="8" t="n"/>
    </row>
    <row r="136">
      <c r="A136" s="9" t="n"/>
      <c r="B136" s="8" t="n"/>
      <c r="C136" s="8" t="n"/>
      <c r="D136" s="8" t="n"/>
      <c r="E136" s="8" t="n"/>
      <c r="F136" s="8" t="n"/>
      <c r="G136" s="8" t="n"/>
      <c r="H136" s="8" t="n"/>
      <c r="I136" s="12" t="n"/>
      <c r="J136" s="15">
        <f>IFERROR(I136/G136,"")</f>
        <v/>
      </c>
      <c r="K136" s="8" t="n"/>
      <c r="L136" s="8" t="n"/>
      <c r="M136" s="8" t="n"/>
      <c r="N136" s="8" t="n"/>
      <c r="O136" s="8" t="n"/>
      <c r="P136" s="8" t="n"/>
      <c r="Q136" s="8" t="n"/>
    </row>
    <row r="137">
      <c r="A137" s="9" t="n"/>
      <c r="B137" s="8" t="n"/>
      <c r="C137" s="8" t="n"/>
      <c r="D137" s="8" t="n"/>
      <c r="E137" s="8" t="n"/>
      <c r="F137" s="8" t="n"/>
      <c r="G137" s="8" t="n"/>
      <c r="H137" s="8" t="n"/>
      <c r="I137" s="12" t="n"/>
      <c r="J137" s="15">
        <f>IFERROR(I137/G137,"")</f>
        <v/>
      </c>
      <c r="K137" s="8" t="n"/>
      <c r="L137" s="8" t="n"/>
      <c r="M137" s="8" t="n"/>
      <c r="N137" s="8" t="n"/>
      <c r="O137" s="8" t="n"/>
      <c r="P137" s="8" t="n"/>
      <c r="Q137" s="8" t="n"/>
    </row>
    <row r="138">
      <c r="A138" s="9" t="n"/>
      <c r="B138" s="8" t="n"/>
      <c r="C138" s="8" t="n"/>
      <c r="D138" s="8" t="n"/>
      <c r="E138" s="8" t="n"/>
      <c r="F138" s="8" t="n"/>
      <c r="G138" s="8" t="n"/>
      <c r="H138" s="8" t="n"/>
      <c r="I138" s="12" t="n"/>
      <c r="J138" s="15">
        <f>IFERROR(I138/G138,"")</f>
        <v/>
      </c>
      <c r="K138" s="8" t="n"/>
      <c r="L138" s="8" t="n"/>
      <c r="M138" s="8" t="n"/>
      <c r="N138" s="8" t="n"/>
      <c r="O138" s="8" t="n"/>
      <c r="P138" s="8" t="n"/>
      <c r="Q138" s="8" t="n"/>
    </row>
    <row r="139">
      <c r="A139" s="9" t="n"/>
      <c r="B139" s="8" t="n"/>
      <c r="C139" s="8" t="n"/>
      <c r="D139" s="8" t="n"/>
      <c r="E139" s="8" t="n"/>
      <c r="F139" s="8" t="n"/>
      <c r="G139" s="8" t="n"/>
      <c r="H139" s="8" t="n"/>
      <c r="I139" s="12" t="n"/>
      <c r="J139" s="15">
        <f>IFERROR(I139/G139,"")</f>
        <v/>
      </c>
      <c r="K139" s="8" t="n"/>
      <c r="L139" s="8" t="n"/>
      <c r="M139" s="8" t="n"/>
      <c r="N139" s="8" t="n"/>
      <c r="O139" s="8" t="n"/>
      <c r="P139" s="8" t="n"/>
      <c r="Q139" s="8" t="n"/>
    </row>
    <row r="140">
      <c r="A140" s="9" t="n"/>
      <c r="B140" s="8" t="n"/>
      <c r="C140" s="8" t="n"/>
      <c r="D140" s="8" t="n"/>
      <c r="E140" s="8" t="n"/>
      <c r="F140" s="8" t="n"/>
      <c r="G140" s="8" t="n"/>
      <c r="H140" s="8" t="n"/>
      <c r="I140" s="12" t="n"/>
      <c r="J140" s="15">
        <f>IFERROR(I140/G140,"")</f>
        <v/>
      </c>
      <c r="K140" s="8" t="n"/>
      <c r="L140" s="8" t="n"/>
      <c r="M140" s="8" t="n"/>
      <c r="N140" s="8" t="n"/>
      <c r="O140" s="8" t="n"/>
      <c r="P140" s="8" t="n"/>
      <c r="Q140" s="8" t="n"/>
    </row>
    <row r="141">
      <c r="A141" s="9" t="n"/>
      <c r="B141" s="8" t="n"/>
      <c r="C141" s="8" t="n"/>
      <c r="D141" s="8" t="n"/>
      <c r="E141" s="8" t="n"/>
      <c r="F141" s="8" t="n"/>
      <c r="G141" s="8" t="n"/>
      <c r="H141" s="8" t="n"/>
      <c r="I141" s="12" t="n"/>
      <c r="J141" s="15">
        <f>IFERROR(I141/G141,"")</f>
        <v/>
      </c>
      <c r="K141" s="8" t="n"/>
      <c r="L141" s="8" t="n"/>
      <c r="M141" s="8" t="n"/>
      <c r="N141" s="8" t="n"/>
      <c r="O141" s="8" t="n"/>
      <c r="P141" s="8" t="n"/>
      <c r="Q141" s="8" t="n"/>
    </row>
    <row r="142">
      <c r="A142" s="9" t="n"/>
      <c r="B142" s="8" t="n"/>
      <c r="C142" s="8" t="n"/>
      <c r="D142" s="8" t="n"/>
      <c r="E142" s="8" t="n"/>
      <c r="F142" s="8" t="n"/>
      <c r="G142" s="8" t="n"/>
      <c r="H142" s="8" t="n"/>
      <c r="I142" s="12" t="n"/>
      <c r="J142" s="15">
        <f>IFERROR(I142/G142,"")</f>
        <v/>
      </c>
      <c r="K142" s="8" t="n"/>
      <c r="L142" s="8" t="n"/>
      <c r="M142" s="8" t="n"/>
      <c r="N142" s="8" t="n"/>
      <c r="O142" s="8" t="n"/>
      <c r="P142" s="8" t="n"/>
      <c r="Q142" s="8" t="n"/>
    </row>
    <row r="143">
      <c r="A143" s="9" t="n"/>
      <c r="B143" s="8" t="n"/>
      <c r="C143" s="8" t="n"/>
      <c r="D143" s="8" t="n"/>
      <c r="E143" s="8" t="n"/>
      <c r="F143" s="8" t="n"/>
      <c r="G143" s="8" t="n"/>
      <c r="H143" s="8" t="n"/>
      <c r="I143" s="12" t="n"/>
      <c r="J143" s="15">
        <f>IFERROR(I143/G143,"")</f>
        <v/>
      </c>
      <c r="K143" s="8" t="n"/>
      <c r="L143" s="8" t="n"/>
      <c r="M143" s="8" t="n"/>
      <c r="N143" s="8" t="n"/>
      <c r="O143" s="8" t="n"/>
      <c r="P143" s="8" t="n"/>
      <c r="Q143" s="8" t="n"/>
    </row>
    <row r="144">
      <c r="A144" s="9" t="n"/>
      <c r="B144" s="8" t="n"/>
      <c r="C144" s="8" t="n"/>
      <c r="D144" s="8" t="n"/>
      <c r="E144" s="8" t="n"/>
      <c r="F144" s="8" t="n"/>
      <c r="G144" s="8" t="n"/>
      <c r="H144" s="8" t="n"/>
      <c r="I144" s="12" t="n"/>
      <c r="J144" s="15">
        <f>IFERROR(I144/G144,"")</f>
        <v/>
      </c>
      <c r="K144" s="8" t="n"/>
      <c r="L144" s="8" t="n"/>
      <c r="M144" s="8" t="n"/>
      <c r="N144" s="8" t="n"/>
      <c r="O144" s="8" t="n"/>
      <c r="P144" s="8" t="n"/>
      <c r="Q144" s="8" t="n"/>
    </row>
    <row r="145">
      <c r="A145" s="9" t="n"/>
      <c r="B145" s="8" t="n"/>
      <c r="C145" s="8" t="n"/>
      <c r="D145" s="8" t="n"/>
      <c r="E145" s="8" t="n"/>
      <c r="F145" s="8" t="n"/>
      <c r="G145" s="8" t="n"/>
      <c r="H145" s="8" t="n"/>
      <c r="I145" s="12" t="n"/>
      <c r="J145" s="15">
        <f>IFERROR(I145/G145,"")</f>
        <v/>
      </c>
      <c r="K145" s="8" t="n"/>
      <c r="L145" s="8" t="n"/>
      <c r="M145" s="8" t="n"/>
      <c r="N145" s="8" t="n"/>
      <c r="O145" s="8" t="n"/>
      <c r="P145" s="8" t="n"/>
      <c r="Q145" s="8" t="n"/>
    </row>
    <row r="146">
      <c r="A146" s="9" t="n"/>
      <c r="B146" s="8" t="n"/>
      <c r="C146" s="8" t="n"/>
      <c r="D146" s="8" t="n"/>
      <c r="E146" s="8" t="n"/>
      <c r="F146" s="8" t="n"/>
      <c r="G146" s="8" t="n"/>
      <c r="H146" s="8" t="n"/>
      <c r="I146" s="12" t="n"/>
      <c r="J146" s="15">
        <f>IFERROR(I146/G146,"")</f>
        <v/>
      </c>
      <c r="K146" s="8" t="n"/>
      <c r="L146" s="8" t="n"/>
      <c r="M146" s="8" t="n"/>
      <c r="N146" s="8" t="n"/>
      <c r="O146" s="8" t="n"/>
      <c r="P146" s="8" t="n"/>
      <c r="Q146" s="8" t="n"/>
    </row>
    <row r="147">
      <c r="A147" s="9" t="n"/>
      <c r="B147" s="8" t="n"/>
      <c r="C147" s="8" t="n"/>
      <c r="D147" s="8" t="n"/>
      <c r="E147" s="8" t="n"/>
      <c r="F147" s="8" t="n"/>
      <c r="G147" s="8" t="n"/>
      <c r="H147" s="8" t="n"/>
      <c r="I147" s="12" t="n"/>
      <c r="J147" s="15">
        <f>IFERROR(I147/G147,"")</f>
        <v/>
      </c>
      <c r="K147" s="8" t="n"/>
      <c r="L147" s="8" t="n"/>
      <c r="M147" s="8" t="n"/>
      <c r="N147" s="8" t="n"/>
      <c r="O147" s="8" t="n"/>
      <c r="P147" s="8" t="n"/>
      <c r="Q147" s="8" t="n"/>
    </row>
    <row r="148">
      <c r="A148" s="9" t="n"/>
      <c r="B148" s="8" t="n"/>
      <c r="C148" s="8" t="n"/>
      <c r="D148" s="8" t="n"/>
      <c r="E148" s="8" t="n"/>
      <c r="F148" s="8" t="n"/>
      <c r="G148" s="8" t="n"/>
      <c r="H148" s="8" t="n"/>
      <c r="I148" s="12" t="n"/>
      <c r="J148" s="15">
        <f>IFERROR(I148/G148,"")</f>
        <v/>
      </c>
      <c r="K148" s="8" t="n"/>
      <c r="L148" s="8" t="n"/>
      <c r="M148" s="8" t="n"/>
      <c r="N148" s="8" t="n"/>
      <c r="O148" s="8" t="n"/>
      <c r="P148" s="8" t="n"/>
      <c r="Q148" s="8" t="n"/>
    </row>
    <row r="149">
      <c r="A149" s="9" t="n"/>
      <c r="B149" s="8" t="n"/>
      <c r="C149" s="8" t="n"/>
      <c r="D149" s="8" t="n"/>
      <c r="E149" s="8" t="n"/>
      <c r="F149" s="8" t="n"/>
      <c r="G149" s="8" t="n"/>
      <c r="H149" s="8" t="n"/>
      <c r="I149" s="12" t="n"/>
      <c r="J149" s="15">
        <f>IFERROR(I149/G149,"")</f>
        <v/>
      </c>
      <c r="K149" s="8" t="n"/>
      <c r="L149" s="8" t="n"/>
      <c r="M149" s="8" t="n"/>
      <c r="N149" s="8" t="n"/>
      <c r="O149" s="8" t="n"/>
      <c r="P149" s="8" t="n"/>
      <c r="Q149" s="8" t="n"/>
    </row>
    <row r="150">
      <c r="A150" s="9" t="n"/>
      <c r="B150" s="8" t="n"/>
      <c r="C150" s="8" t="n"/>
      <c r="D150" s="8" t="n"/>
      <c r="E150" s="8" t="n"/>
      <c r="F150" s="8" t="n"/>
      <c r="G150" s="8" t="n"/>
      <c r="H150" s="8" t="n"/>
      <c r="I150" s="12" t="n"/>
      <c r="J150" s="15">
        <f>IFERROR(I150/G150,"")</f>
        <v/>
      </c>
      <c r="K150" s="8" t="n"/>
      <c r="L150" s="8" t="n"/>
      <c r="M150" s="8" t="n"/>
      <c r="N150" s="8" t="n"/>
      <c r="O150" s="8" t="n"/>
      <c r="P150" s="8" t="n"/>
      <c r="Q150" s="8" t="n"/>
    </row>
    <row r="151">
      <c r="A151" s="9" t="n"/>
      <c r="B151" s="8" t="n"/>
      <c r="C151" s="8" t="n"/>
      <c r="D151" s="8" t="n"/>
      <c r="E151" s="8" t="n"/>
      <c r="F151" s="8" t="n"/>
      <c r="G151" s="8" t="n"/>
      <c r="H151" s="8" t="n"/>
      <c r="I151" s="12" t="n"/>
      <c r="J151" s="15">
        <f>IFERROR(I151/G151,"")</f>
        <v/>
      </c>
      <c r="K151" s="8" t="n"/>
      <c r="L151" s="8" t="n"/>
      <c r="M151" s="8" t="n"/>
      <c r="N151" s="8" t="n"/>
      <c r="O151" s="8" t="n"/>
      <c r="P151" s="8" t="n"/>
      <c r="Q151" s="8" t="n"/>
    </row>
    <row r="152">
      <c r="A152" s="9" t="n"/>
      <c r="B152" s="8" t="n"/>
      <c r="C152" s="8" t="n"/>
      <c r="D152" s="8" t="n"/>
      <c r="E152" s="8" t="n"/>
      <c r="F152" s="8" t="n"/>
      <c r="G152" s="8" t="n"/>
      <c r="H152" s="8" t="n"/>
      <c r="I152" s="12" t="n"/>
      <c r="J152" s="15">
        <f>IFERROR(I152/G152,"")</f>
        <v/>
      </c>
      <c r="K152" s="8" t="n"/>
      <c r="L152" s="8" t="n"/>
      <c r="M152" s="8" t="n"/>
      <c r="N152" s="8" t="n"/>
      <c r="O152" s="8" t="n"/>
      <c r="P152" s="8" t="n"/>
      <c r="Q152" s="8" t="n"/>
    </row>
    <row r="153">
      <c r="A153" s="9" t="n"/>
      <c r="B153" s="8" t="n"/>
      <c r="C153" s="8" t="n"/>
      <c r="D153" s="8" t="n"/>
      <c r="E153" s="8" t="n"/>
      <c r="F153" s="8" t="n"/>
      <c r="G153" s="8" t="n"/>
      <c r="H153" s="8" t="n"/>
      <c r="I153" s="12" t="n"/>
      <c r="J153" s="15">
        <f>IFERROR(I153/G153,"")</f>
        <v/>
      </c>
      <c r="K153" s="8" t="n"/>
      <c r="L153" s="8" t="n"/>
      <c r="M153" s="8" t="n"/>
      <c r="N153" s="8" t="n"/>
      <c r="O153" s="8" t="n"/>
      <c r="P153" s="8" t="n"/>
      <c r="Q153" s="8" t="n"/>
    </row>
    <row r="154">
      <c r="A154" s="9" t="n"/>
      <c r="B154" s="8" t="n"/>
      <c r="C154" s="8" t="n"/>
      <c r="D154" s="8" t="n"/>
      <c r="E154" s="8" t="n"/>
      <c r="F154" s="8" t="n"/>
      <c r="G154" s="8" t="n"/>
      <c r="H154" s="8" t="n"/>
      <c r="I154" s="12" t="n"/>
      <c r="J154" s="15">
        <f>IFERROR(I154/G154,"")</f>
        <v/>
      </c>
      <c r="K154" s="8" t="n"/>
      <c r="L154" s="8" t="n"/>
      <c r="M154" s="8" t="n"/>
      <c r="N154" s="8" t="n"/>
      <c r="O154" s="8" t="n"/>
      <c r="P154" s="8" t="n"/>
      <c r="Q154" s="8" t="n"/>
    </row>
    <row r="155">
      <c r="A155" s="9" t="n"/>
      <c r="B155" s="8" t="n"/>
      <c r="C155" s="8" t="n"/>
      <c r="D155" s="8" t="n"/>
      <c r="E155" s="8" t="n"/>
      <c r="F155" s="8" t="n"/>
      <c r="G155" s="8" t="n"/>
      <c r="H155" s="8" t="n"/>
      <c r="I155" s="12" t="n"/>
      <c r="J155" s="15">
        <f>IFERROR(I155/G155,"")</f>
        <v/>
      </c>
      <c r="K155" s="8" t="n"/>
      <c r="L155" s="8" t="n"/>
      <c r="M155" s="8" t="n"/>
      <c r="N155" s="8" t="n"/>
      <c r="O155" s="8" t="n"/>
      <c r="P155" s="8" t="n"/>
      <c r="Q155" s="8" t="n"/>
    </row>
    <row r="156">
      <c r="A156" s="9" t="n"/>
      <c r="B156" s="8" t="n"/>
      <c r="C156" s="8" t="n"/>
      <c r="D156" s="8" t="n"/>
      <c r="E156" s="8" t="n"/>
      <c r="F156" s="8" t="n"/>
      <c r="G156" s="8" t="n"/>
      <c r="H156" s="8" t="n"/>
      <c r="I156" s="12" t="n"/>
      <c r="J156" s="15">
        <f>IFERROR(I156/G156,"")</f>
        <v/>
      </c>
      <c r="K156" s="8" t="n"/>
      <c r="L156" s="8" t="n"/>
      <c r="M156" s="8" t="n"/>
      <c r="N156" s="8" t="n"/>
      <c r="O156" s="8" t="n"/>
      <c r="P156" s="8" t="n"/>
      <c r="Q156" s="8" t="n"/>
    </row>
    <row r="157">
      <c r="A157" s="9" t="n"/>
      <c r="B157" s="8" t="n"/>
      <c r="C157" s="8" t="n"/>
      <c r="D157" s="8" t="n"/>
      <c r="E157" s="8" t="n"/>
      <c r="F157" s="8" t="n"/>
      <c r="G157" s="8" t="n"/>
      <c r="H157" s="8" t="n"/>
      <c r="I157" s="12" t="n"/>
      <c r="J157" s="15">
        <f>IFERROR(I157/G157,"")</f>
        <v/>
      </c>
      <c r="K157" s="8" t="n"/>
      <c r="L157" s="8" t="n"/>
      <c r="M157" s="8" t="n"/>
      <c r="N157" s="8" t="n"/>
      <c r="O157" s="8" t="n"/>
      <c r="P157" s="8" t="n"/>
      <c r="Q157" s="8" t="n"/>
    </row>
    <row r="158">
      <c r="A158" s="9" t="n"/>
      <c r="B158" s="8" t="n"/>
      <c r="C158" s="8" t="n"/>
      <c r="D158" s="8" t="n"/>
      <c r="E158" s="8" t="n"/>
      <c r="F158" s="8" t="n"/>
      <c r="G158" s="8" t="n"/>
      <c r="H158" s="8" t="n"/>
      <c r="I158" s="12" t="n"/>
      <c r="J158" s="15">
        <f>IFERROR(I158/G158,"")</f>
        <v/>
      </c>
      <c r="K158" s="8" t="n"/>
      <c r="L158" s="8" t="n"/>
      <c r="M158" s="8" t="n"/>
      <c r="N158" s="8" t="n"/>
      <c r="O158" s="8" t="n"/>
      <c r="P158" s="8" t="n"/>
      <c r="Q158" s="8" t="n"/>
    </row>
    <row r="159">
      <c r="A159" s="9" t="n"/>
      <c r="B159" s="8" t="n"/>
      <c r="C159" s="8" t="n"/>
      <c r="D159" s="8" t="n"/>
      <c r="E159" s="8" t="n"/>
      <c r="F159" s="8" t="n"/>
      <c r="G159" s="8" t="n"/>
      <c r="H159" s="8" t="n"/>
      <c r="I159" s="12" t="n"/>
      <c r="J159" s="15">
        <f>IFERROR(I159/G159,"")</f>
        <v/>
      </c>
      <c r="K159" s="8" t="n"/>
      <c r="L159" s="8" t="n"/>
      <c r="M159" s="8" t="n"/>
      <c r="N159" s="8" t="n"/>
      <c r="O159" s="8" t="n"/>
      <c r="P159" s="8" t="n"/>
      <c r="Q159" s="8" t="n"/>
    </row>
    <row r="160">
      <c r="A160" s="9" t="n"/>
      <c r="B160" s="8" t="n"/>
      <c r="C160" s="8" t="n"/>
      <c r="D160" s="8" t="n"/>
      <c r="E160" s="8" t="n"/>
      <c r="F160" s="8" t="n"/>
      <c r="G160" s="8" t="n"/>
      <c r="H160" s="8" t="n"/>
      <c r="I160" s="12" t="n"/>
      <c r="J160" s="15">
        <f>IFERROR(I160/G160,"")</f>
        <v/>
      </c>
      <c r="K160" s="8" t="n"/>
      <c r="L160" s="8" t="n"/>
      <c r="M160" s="8" t="n"/>
      <c r="N160" s="8" t="n"/>
      <c r="O160" s="8" t="n"/>
      <c r="P160" s="8" t="n"/>
      <c r="Q160" s="8" t="n"/>
    </row>
    <row r="161">
      <c r="A161" s="9" t="n"/>
      <c r="B161" s="8" t="n"/>
      <c r="C161" s="8" t="n"/>
      <c r="D161" s="8" t="n"/>
      <c r="E161" s="8" t="n"/>
      <c r="F161" s="8" t="n"/>
      <c r="G161" s="8" t="n"/>
      <c r="H161" s="8" t="n"/>
      <c r="I161" s="12" t="n"/>
      <c r="J161" s="15">
        <f>IFERROR(I161/G161,"")</f>
        <v/>
      </c>
      <c r="K161" s="8" t="n"/>
      <c r="L161" s="8" t="n"/>
      <c r="M161" s="8" t="n"/>
      <c r="N161" s="8" t="n"/>
      <c r="O161" s="8" t="n"/>
      <c r="P161" s="8" t="n"/>
      <c r="Q161" s="8" t="n"/>
    </row>
    <row r="162">
      <c r="A162" s="9" t="n"/>
      <c r="B162" s="8" t="n"/>
      <c r="C162" s="8" t="n"/>
      <c r="D162" s="8" t="n"/>
      <c r="E162" s="8" t="n"/>
      <c r="F162" s="8" t="n"/>
      <c r="G162" s="8" t="n"/>
      <c r="H162" s="8" t="n"/>
      <c r="I162" s="12" t="n"/>
      <c r="J162" s="15">
        <f>IFERROR(I162/G162,"")</f>
        <v/>
      </c>
      <c r="K162" s="8" t="n"/>
      <c r="L162" s="8" t="n"/>
      <c r="M162" s="8" t="n"/>
      <c r="N162" s="8" t="n"/>
      <c r="O162" s="8" t="n"/>
      <c r="P162" s="8" t="n"/>
      <c r="Q162" s="8" t="n"/>
    </row>
    <row r="163">
      <c r="A163" s="9" t="n"/>
      <c r="B163" s="8" t="n"/>
      <c r="C163" s="8" t="n"/>
      <c r="D163" s="8" t="n"/>
      <c r="E163" s="8" t="n"/>
      <c r="F163" s="8" t="n"/>
      <c r="G163" s="8" t="n"/>
      <c r="H163" s="8" t="n"/>
      <c r="I163" s="12" t="n"/>
      <c r="J163" s="15">
        <f>IFERROR(I163/G163,"")</f>
        <v/>
      </c>
      <c r="K163" s="8" t="n"/>
      <c r="L163" s="8" t="n"/>
      <c r="M163" s="8" t="n"/>
      <c r="N163" s="8" t="n"/>
      <c r="O163" s="8" t="n"/>
      <c r="P163" s="8" t="n"/>
      <c r="Q163" s="8" t="n"/>
    </row>
    <row r="164">
      <c r="A164" s="9" t="n"/>
      <c r="B164" s="8" t="n"/>
      <c r="C164" s="8" t="n"/>
      <c r="D164" s="8" t="n"/>
      <c r="E164" s="8" t="n"/>
      <c r="F164" s="8" t="n"/>
      <c r="G164" s="8" t="n"/>
      <c r="H164" s="8" t="n"/>
      <c r="I164" s="12" t="n"/>
      <c r="J164" s="15">
        <f>IFERROR(I164/G164,"")</f>
        <v/>
      </c>
      <c r="K164" s="8" t="n"/>
      <c r="L164" s="8" t="n"/>
      <c r="M164" s="8" t="n"/>
      <c r="N164" s="8" t="n"/>
      <c r="O164" s="8" t="n"/>
      <c r="P164" s="8" t="n"/>
      <c r="Q164" s="8" t="n"/>
    </row>
    <row r="165">
      <c r="A165" s="9" t="n"/>
      <c r="B165" s="8" t="n"/>
      <c r="C165" s="8" t="n"/>
      <c r="D165" s="8" t="n"/>
      <c r="E165" s="8" t="n"/>
      <c r="F165" s="8" t="n"/>
      <c r="G165" s="8" t="n"/>
      <c r="H165" s="8" t="n"/>
      <c r="I165" s="12" t="n"/>
      <c r="J165" s="15">
        <f>IFERROR(I165/G165,"")</f>
        <v/>
      </c>
      <c r="K165" s="8" t="n"/>
      <c r="L165" s="8" t="n"/>
      <c r="M165" s="8" t="n"/>
      <c r="N165" s="8" t="n"/>
      <c r="O165" s="8" t="n"/>
      <c r="P165" s="8" t="n"/>
      <c r="Q165" s="8" t="n"/>
    </row>
    <row r="166">
      <c r="A166" s="9" t="n"/>
      <c r="B166" s="8" t="n"/>
      <c r="C166" s="8" t="n"/>
      <c r="D166" s="8" t="n"/>
      <c r="E166" s="8" t="n"/>
      <c r="F166" s="8" t="n"/>
      <c r="G166" s="8" t="n"/>
      <c r="H166" s="8" t="n"/>
      <c r="I166" s="12" t="n"/>
      <c r="J166" s="15">
        <f>IFERROR(I166/G166,"")</f>
        <v/>
      </c>
      <c r="K166" s="8" t="n"/>
      <c r="L166" s="8" t="n"/>
      <c r="M166" s="8" t="n"/>
      <c r="N166" s="8" t="n"/>
      <c r="O166" s="8" t="n"/>
      <c r="P166" s="8" t="n"/>
      <c r="Q166" s="8" t="n"/>
    </row>
    <row r="167">
      <c r="A167" s="9" t="n"/>
      <c r="B167" s="8" t="n"/>
      <c r="C167" s="8" t="n"/>
      <c r="D167" s="8" t="n"/>
      <c r="E167" s="8" t="n"/>
      <c r="F167" s="8" t="n"/>
      <c r="G167" s="8" t="n"/>
      <c r="H167" s="8" t="n"/>
      <c r="I167" s="12" t="n"/>
      <c r="J167" s="15">
        <f>IFERROR(I167/G167,"")</f>
        <v/>
      </c>
      <c r="K167" s="8" t="n"/>
      <c r="L167" s="8" t="n"/>
      <c r="M167" s="8" t="n"/>
      <c r="N167" s="8" t="n"/>
      <c r="O167" s="8" t="n"/>
      <c r="P167" s="8" t="n"/>
      <c r="Q167" s="8" t="n"/>
    </row>
    <row r="168">
      <c r="A168" s="9" t="n"/>
      <c r="B168" s="8" t="n"/>
      <c r="C168" s="8" t="n"/>
      <c r="D168" s="8" t="n"/>
      <c r="E168" s="8" t="n"/>
      <c r="F168" s="8" t="n"/>
      <c r="G168" s="8" t="n"/>
      <c r="H168" s="8" t="n"/>
      <c r="I168" s="12" t="n"/>
      <c r="J168" s="15">
        <f>IFERROR(I168/G168,"")</f>
        <v/>
      </c>
      <c r="K168" s="8" t="n"/>
      <c r="L168" s="8" t="n"/>
      <c r="M168" s="8" t="n"/>
      <c r="N168" s="8" t="n"/>
      <c r="O168" s="8" t="n"/>
      <c r="P168" s="8" t="n"/>
      <c r="Q168" s="8" t="n"/>
    </row>
    <row r="169">
      <c r="A169" s="9" t="n"/>
      <c r="B169" s="8" t="n"/>
      <c r="C169" s="8" t="n"/>
      <c r="D169" s="8" t="n"/>
      <c r="E169" s="8" t="n"/>
      <c r="F169" s="8" t="n"/>
      <c r="G169" s="8" t="n"/>
      <c r="H169" s="8" t="n"/>
      <c r="I169" s="12" t="n"/>
      <c r="J169" s="15">
        <f>IFERROR(I169/G169,"")</f>
        <v/>
      </c>
      <c r="K169" s="8" t="n"/>
      <c r="L169" s="8" t="n"/>
      <c r="M169" s="8" t="n"/>
      <c r="N169" s="8" t="n"/>
      <c r="O169" s="8" t="n"/>
      <c r="P169" s="8" t="n"/>
      <c r="Q169" s="8" t="n"/>
    </row>
    <row r="170">
      <c r="A170" s="9" t="n"/>
      <c r="B170" s="8" t="n"/>
      <c r="C170" s="8" t="n"/>
      <c r="D170" s="8" t="n"/>
      <c r="E170" s="8" t="n"/>
      <c r="F170" s="8" t="n"/>
      <c r="G170" s="8" t="n"/>
      <c r="H170" s="8" t="n"/>
      <c r="I170" s="12" t="n"/>
      <c r="J170" s="15">
        <f>IFERROR(I170/G170,"")</f>
        <v/>
      </c>
      <c r="K170" s="8" t="n"/>
      <c r="L170" s="8" t="n"/>
      <c r="M170" s="8" t="n"/>
      <c r="N170" s="8" t="n"/>
      <c r="O170" s="8" t="n"/>
      <c r="P170" s="8" t="n"/>
      <c r="Q170" s="8" t="n"/>
    </row>
    <row r="171">
      <c r="A171" s="9" t="n"/>
      <c r="B171" s="8" t="n"/>
      <c r="C171" s="8" t="n"/>
      <c r="D171" s="8" t="n"/>
      <c r="E171" s="8" t="n"/>
      <c r="F171" s="8" t="n"/>
      <c r="G171" s="8" t="n"/>
      <c r="H171" s="8" t="n"/>
      <c r="I171" s="12" t="n"/>
      <c r="J171" s="15">
        <f>IFERROR(I171/G171,"")</f>
        <v/>
      </c>
      <c r="K171" s="8" t="n"/>
      <c r="L171" s="8" t="n"/>
      <c r="M171" s="8" t="n"/>
      <c r="N171" s="8" t="n"/>
      <c r="O171" s="8" t="n"/>
      <c r="P171" s="8" t="n"/>
      <c r="Q171" s="8" t="n"/>
    </row>
    <row r="172">
      <c r="A172" s="9" t="n"/>
      <c r="B172" s="8" t="n"/>
      <c r="C172" s="8" t="n"/>
      <c r="D172" s="8" t="n"/>
      <c r="E172" s="8" t="n"/>
      <c r="F172" s="8" t="n"/>
      <c r="G172" s="8" t="n"/>
      <c r="H172" s="8" t="n"/>
      <c r="I172" s="12" t="n"/>
      <c r="J172" s="15">
        <f>IFERROR(I172/G172,"")</f>
        <v/>
      </c>
      <c r="K172" s="8" t="n"/>
      <c r="L172" s="8" t="n"/>
      <c r="M172" s="8" t="n"/>
      <c r="N172" s="8" t="n"/>
      <c r="O172" s="8" t="n"/>
      <c r="P172" s="8" t="n"/>
      <c r="Q172" s="8" t="n"/>
    </row>
    <row r="173">
      <c r="A173" s="9" t="n"/>
      <c r="B173" s="8" t="n"/>
      <c r="C173" s="8" t="n"/>
      <c r="D173" s="8" t="n"/>
      <c r="E173" s="8" t="n"/>
      <c r="F173" s="8" t="n"/>
      <c r="G173" s="8" t="n"/>
      <c r="H173" s="8" t="n"/>
      <c r="I173" s="12" t="n"/>
      <c r="J173" s="15">
        <f>IFERROR(I173/G173,"")</f>
        <v/>
      </c>
      <c r="K173" s="8" t="n"/>
      <c r="L173" s="8" t="n"/>
      <c r="M173" s="8" t="n"/>
      <c r="N173" s="8" t="n"/>
      <c r="O173" s="8" t="n"/>
      <c r="P173" s="8" t="n"/>
      <c r="Q173" s="8" t="n"/>
    </row>
    <row r="174">
      <c r="A174" s="9" t="n"/>
      <c r="B174" s="8" t="n"/>
      <c r="C174" s="8" t="n"/>
      <c r="D174" s="8" t="n"/>
      <c r="E174" s="8" t="n"/>
      <c r="F174" s="8" t="n"/>
      <c r="G174" s="8" t="n"/>
      <c r="H174" s="8" t="n"/>
      <c r="I174" s="12" t="n"/>
      <c r="J174" s="15">
        <f>IFERROR(I174/G174,"")</f>
        <v/>
      </c>
      <c r="K174" s="8" t="n"/>
      <c r="L174" s="8" t="n"/>
      <c r="M174" s="8" t="n"/>
      <c r="N174" s="8" t="n"/>
      <c r="O174" s="8" t="n"/>
      <c r="P174" s="8" t="n"/>
      <c r="Q174" s="8" t="n"/>
    </row>
    <row r="175">
      <c r="A175" s="9" t="n"/>
      <c r="B175" s="8" t="n"/>
      <c r="C175" s="8" t="n"/>
      <c r="D175" s="8" t="n"/>
      <c r="E175" s="8" t="n"/>
      <c r="F175" s="8" t="n"/>
      <c r="G175" s="8" t="n"/>
      <c r="H175" s="8" t="n"/>
      <c r="I175" s="12" t="n"/>
      <c r="J175" s="15">
        <f>IFERROR(I175/G175,"")</f>
        <v/>
      </c>
      <c r="K175" s="8" t="n"/>
      <c r="L175" s="8" t="n"/>
      <c r="M175" s="8" t="n"/>
      <c r="N175" s="8" t="n"/>
      <c r="O175" s="8" t="n"/>
      <c r="P175" s="8" t="n"/>
      <c r="Q175" s="8" t="n"/>
    </row>
    <row r="176">
      <c r="A176" s="9" t="n"/>
      <c r="B176" s="8" t="n"/>
      <c r="C176" s="8" t="n"/>
      <c r="D176" s="8" t="n"/>
      <c r="E176" s="8" t="n"/>
      <c r="F176" s="8" t="n"/>
      <c r="G176" s="8" t="n"/>
      <c r="H176" s="8" t="n"/>
      <c r="I176" s="12" t="n"/>
      <c r="J176" s="15">
        <f>IFERROR(I176/G176,"")</f>
        <v/>
      </c>
      <c r="K176" s="8" t="n"/>
      <c r="L176" s="8" t="n"/>
      <c r="M176" s="8" t="n"/>
      <c r="N176" s="8" t="n"/>
      <c r="O176" s="8" t="n"/>
      <c r="P176" s="8" t="n"/>
      <c r="Q176" s="8" t="n"/>
    </row>
    <row r="177">
      <c r="A177" s="9" t="n"/>
      <c r="B177" s="8" t="n"/>
      <c r="C177" s="8" t="n"/>
      <c r="D177" s="8" t="n"/>
      <c r="E177" s="8" t="n"/>
      <c r="F177" s="8" t="n"/>
      <c r="G177" s="8" t="n"/>
      <c r="H177" s="8" t="n"/>
      <c r="I177" s="12" t="n"/>
      <c r="J177" s="15">
        <f>IFERROR(I177/G177,"")</f>
        <v/>
      </c>
      <c r="K177" s="8" t="n"/>
      <c r="L177" s="8" t="n"/>
      <c r="M177" s="8" t="n"/>
      <c r="N177" s="8" t="n"/>
      <c r="O177" s="8" t="n"/>
      <c r="P177" s="8" t="n"/>
      <c r="Q177" s="8" t="n"/>
    </row>
    <row r="178">
      <c r="A178" s="9" t="n"/>
      <c r="B178" s="8" t="n"/>
      <c r="C178" s="8" t="n"/>
      <c r="D178" s="8" t="n"/>
      <c r="E178" s="8" t="n"/>
      <c r="F178" s="8" t="n"/>
      <c r="G178" s="8" t="n"/>
      <c r="H178" s="8" t="n"/>
      <c r="I178" s="12" t="n"/>
      <c r="J178" s="15">
        <f>IFERROR(I178/G178,"")</f>
        <v/>
      </c>
      <c r="K178" s="8" t="n"/>
      <c r="L178" s="8" t="n"/>
      <c r="M178" s="8" t="n"/>
      <c r="N178" s="8" t="n"/>
      <c r="O178" s="8" t="n"/>
      <c r="P178" s="8" t="n"/>
      <c r="Q178" s="8" t="n"/>
    </row>
    <row r="179">
      <c r="A179" s="9" t="n"/>
      <c r="B179" s="8" t="n"/>
      <c r="C179" s="8" t="n"/>
      <c r="D179" s="8" t="n"/>
      <c r="E179" s="8" t="n"/>
      <c r="F179" s="8" t="n"/>
      <c r="G179" s="8" t="n"/>
      <c r="H179" s="8" t="n"/>
      <c r="I179" s="12" t="n"/>
      <c r="J179" s="15">
        <f>IFERROR(I179/G179,"")</f>
        <v/>
      </c>
      <c r="K179" s="8" t="n"/>
      <c r="L179" s="8" t="n"/>
      <c r="M179" s="8" t="n"/>
      <c r="N179" s="8" t="n"/>
      <c r="O179" s="8" t="n"/>
      <c r="P179" s="8" t="n"/>
      <c r="Q179" s="8" t="n"/>
    </row>
    <row r="180">
      <c r="A180" s="9" t="n"/>
      <c r="B180" s="8" t="n"/>
      <c r="C180" s="8" t="n"/>
      <c r="D180" s="8" t="n"/>
      <c r="E180" s="8" t="n"/>
      <c r="F180" s="8" t="n"/>
      <c r="G180" s="8" t="n"/>
      <c r="H180" s="8" t="n"/>
      <c r="I180" s="12" t="n"/>
      <c r="J180" s="15">
        <f>IFERROR(I180/G180,"")</f>
        <v/>
      </c>
      <c r="K180" s="8" t="n"/>
      <c r="L180" s="8" t="n"/>
      <c r="M180" s="8" t="n"/>
      <c r="N180" s="8" t="n"/>
      <c r="O180" s="8" t="n"/>
      <c r="P180" s="8" t="n"/>
      <c r="Q180" s="8" t="n"/>
    </row>
    <row r="181">
      <c r="A181" s="9" t="n"/>
      <c r="B181" s="8" t="n"/>
      <c r="C181" s="8" t="n"/>
      <c r="D181" s="8" t="n"/>
      <c r="E181" s="8" t="n"/>
      <c r="F181" s="8" t="n"/>
      <c r="G181" s="8" t="n"/>
      <c r="H181" s="8" t="n"/>
      <c r="I181" s="12" t="n"/>
      <c r="J181" s="15">
        <f>IFERROR(I181/G181,"")</f>
        <v/>
      </c>
      <c r="K181" s="8" t="n"/>
      <c r="L181" s="8" t="n"/>
      <c r="M181" s="8" t="n"/>
      <c r="N181" s="8" t="n"/>
      <c r="O181" s="8" t="n"/>
      <c r="P181" s="8" t="n"/>
      <c r="Q181" s="8" t="n"/>
    </row>
    <row r="182">
      <c r="A182" s="9" t="n"/>
      <c r="B182" s="8" t="n"/>
      <c r="C182" s="8" t="n"/>
      <c r="D182" s="8" t="n"/>
      <c r="E182" s="8" t="n"/>
      <c r="F182" s="8" t="n"/>
      <c r="G182" s="8" t="n"/>
      <c r="H182" s="8" t="n"/>
      <c r="I182" s="12" t="n"/>
      <c r="J182" s="15">
        <f>IFERROR(I182/G182,"")</f>
        <v/>
      </c>
      <c r="K182" s="8" t="n"/>
      <c r="L182" s="8" t="n"/>
      <c r="M182" s="8" t="n"/>
      <c r="N182" s="8" t="n"/>
      <c r="O182" s="8" t="n"/>
      <c r="P182" s="8" t="n"/>
      <c r="Q182" s="8" t="n"/>
    </row>
    <row r="183">
      <c r="A183" s="9" t="n"/>
      <c r="B183" s="8" t="n"/>
      <c r="C183" s="8" t="n"/>
      <c r="D183" s="8" t="n"/>
      <c r="E183" s="8" t="n"/>
      <c r="F183" s="8" t="n"/>
      <c r="G183" s="8" t="n"/>
      <c r="H183" s="8" t="n"/>
      <c r="I183" s="12" t="n"/>
      <c r="J183" s="15">
        <f>IFERROR(I183/G183,"")</f>
        <v/>
      </c>
      <c r="K183" s="8" t="n"/>
      <c r="L183" s="8" t="n"/>
      <c r="M183" s="8" t="n"/>
      <c r="N183" s="8" t="n"/>
      <c r="O183" s="8" t="n"/>
      <c r="P183" s="8" t="n"/>
      <c r="Q183" s="8" t="n"/>
    </row>
    <row r="184">
      <c r="A184" s="9" t="n"/>
      <c r="B184" s="8" t="n"/>
      <c r="C184" s="8" t="n"/>
      <c r="D184" s="8" t="n"/>
      <c r="E184" s="8" t="n"/>
      <c r="F184" s="8" t="n"/>
      <c r="G184" s="8" t="n"/>
      <c r="H184" s="8" t="n"/>
      <c r="I184" s="12" t="n"/>
      <c r="J184" s="15">
        <f>IFERROR(I184/G184,"")</f>
        <v/>
      </c>
      <c r="K184" s="8" t="n"/>
      <c r="L184" s="8" t="n"/>
      <c r="M184" s="8" t="n"/>
      <c r="N184" s="8" t="n"/>
      <c r="O184" s="8" t="n"/>
      <c r="P184" s="8" t="n"/>
      <c r="Q184" s="8" t="n"/>
    </row>
    <row r="185">
      <c r="A185" s="9" t="n"/>
      <c r="B185" s="8" t="n"/>
      <c r="C185" s="8" t="n"/>
      <c r="D185" s="8" t="n"/>
      <c r="E185" s="8" t="n"/>
      <c r="F185" s="8" t="n"/>
      <c r="G185" s="8" t="n"/>
      <c r="H185" s="8" t="n"/>
      <c r="I185" s="12" t="n"/>
      <c r="J185" s="15">
        <f>IFERROR(I185/G185,"")</f>
        <v/>
      </c>
      <c r="K185" s="8" t="n"/>
      <c r="L185" s="8" t="n"/>
      <c r="M185" s="8" t="n"/>
      <c r="N185" s="8" t="n"/>
      <c r="O185" s="8" t="n"/>
      <c r="P185" s="8" t="n"/>
      <c r="Q185" s="8" t="n"/>
    </row>
    <row r="186">
      <c r="A186" s="9" t="n"/>
      <c r="B186" s="8" t="n"/>
      <c r="C186" s="8" t="n"/>
      <c r="D186" s="8" t="n"/>
      <c r="E186" s="8" t="n"/>
      <c r="F186" s="8" t="n"/>
      <c r="G186" s="8" t="n"/>
      <c r="H186" s="8" t="n"/>
      <c r="I186" s="12" t="n"/>
      <c r="J186" s="15">
        <f>IFERROR(I186/G186,"")</f>
        <v/>
      </c>
      <c r="K186" s="8" t="n"/>
      <c r="L186" s="8" t="n"/>
      <c r="M186" s="8" t="n"/>
      <c r="N186" s="8" t="n"/>
      <c r="O186" s="8" t="n"/>
      <c r="P186" s="8" t="n"/>
      <c r="Q186" s="8" t="n"/>
    </row>
    <row r="187">
      <c r="A187" s="9" t="n"/>
      <c r="B187" s="8" t="n"/>
      <c r="C187" s="8" t="n"/>
      <c r="D187" s="8" t="n"/>
      <c r="E187" s="8" t="n"/>
      <c r="F187" s="8" t="n"/>
      <c r="G187" s="8" t="n"/>
      <c r="H187" s="8" t="n"/>
      <c r="I187" s="12" t="n"/>
      <c r="J187" s="15">
        <f>IFERROR(I187/G187,"")</f>
        <v/>
      </c>
      <c r="K187" s="8" t="n"/>
      <c r="L187" s="8" t="n"/>
      <c r="M187" s="8" t="n"/>
      <c r="N187" s="8" t="n"/>
      <c r="O187" s="8" t="n"/>
      <c r="P187" s="8" t="n"/>
      <c r="Q187" s="8" t="n"/>
    </row>
    <row r="188">
      <c r="A188" s="9" t="n"/>
      <c r="B188" s="8" t="n"/>
      <c r="C188" s="8" t="n"/>
      <c r="D188" s="8" t="n"/>
      <c r="E188" s="8" t="n"/>
      <c r="F188" s="8" t="n"/>
      <c r="G188" s="8" t="n"/>
      <c r="H188" s="8" t="n"/>
      <c r="I188" s="12" t="n"/>
      <c r="J188" s="15">
        <f>IFERROR(I188/G188,"")</f>
        <v/>
      </c>
      <c r="K188" s="8" t="n"/>
      <c r="L188" s="8" t="n"/>
      <c r="M188" s="8" t="n"/>
      <c r="N188" s="8" t="n"/>
      <c r="O188" s="8" t="n"/>
      <c r="P188" s="8" t="n"/>
      <c r="Q188" s="8" t="n"/>
    </row>
    <row r="189">
      <c r="A189" s="9" t="n"/>
      <c r="B189" s="8" t="n"/>
      <c r="C189" s="8" t="n"/>
      <c r="D189" s="8" t="n"/>
      <c r="E189" s="8" t="n"/>
      <c r="F189" s="8" t="n"/>
      <c r="G189" s="8" t="n"/>
      <c r="H189" s="8" t="n"/>
      <c r="I189" s="12" t="n"/>
      <c r="J189" s="15">
        <f>IFERROR(I189/G189,"")</f>
        <v/>
      </c>
      <c r="K189" s="8" t="n"/>
      <c r="L189" s="8" t="n"/>
      <c r="M189" s="8" t="n"/>
      <c r="N189" s="8" t="n"/>
      <c r="O189" s="8" t="n"/>
      <c r="P189" s="8" t="n"/>
      <c r="Q189" s="8" t="n"/>
    </row>
    <row r="190">
      <c r="A190" s="9" t="n"/>
      <c r="B190" s="8" t="n"/>
      <c r="C190" s="8" t="n"/>
      <c r="D190" s="8" t="n"/>
      <c r="E190" s="8" t="n"/>
      <c r="F190" s="8" t="n"/>
      <c r="G190" s="8" t="n"/>
      <c r="H190" s="8" t="n"/>
      <c r="I190" s="12" t="n"/>
      <c r="J190" s="15">
        <f>IFERROR(I190/G190,"")</f>
        <v/>
      </c>
      <c r="K190" s="8" t="n"/>
      <c r="L190" s="8" t="n"/>
      <c r="M190" s="8" t="n"/>
      <c r="N190" s="8" t="n"/>
      <c r="O190" s="8" t="n"/>
      <c r="P190" s="8" t="n"/>
      <c r="Q190" s="8" t="n"/>
    </row>
    <row r="191">
      <c r="A191" s="9" t="n"/>
      <c r="B191" s="8" t="n"/>
      <c r="C191" s="8" t="n"/>
      <c r="D191" s="8" t="n"/>
      <c r="E191" s="8" t="n"/>
      <c r="F191" s="8" t="n"/>
      <c r="G191" s="8" t="n"/>
      <c r="H191" s="8" t="n"/>
      <c r="I191" s="12" t="n"/>
      <c r="J191" s="15">
        <f>IFERROR(I191/G191,"")</f>
        <v/>
      </c>
      <c r="K191" s="8" t="n"/>
      <c r="L191" s="8" t="n"/>
      <c r="M191" s="8" t="n"/>
      <c r="N191" s="8" t="n"/>
      <c r="O191" s="8" t="n"/>
      <c r="P191" s="8" t="n"/>
      <c r="Q191" s="8" t="n"/>
    </row>
    <row r="192">
      <c r="A192" s="9" t="n"/>
      <c r="B192" s="8" t="n"/>
      <c r="C192" s="8" t="n"/>
      <c r="D192" s="8" t="n"/>
      <c r="E192" s="8" t="n"/>
      <c r="F192" s="8" t="n"/>
      <c r="G192" s="8" t="n"/>
      <c r="H192" s="8" t="n"/>
      <c r="I192" s="12" t="n"/>
      <c r="J192" s="15">
        <f>IFERROR(I192/G192,"")</f>
        <v/>
      </c>
      <c r="K192" s="8" t="n"/>
      <c r="L192" s="8" t="n"/>
      <c r="M192" s="8" t="n"/>
      <c r="N192" s="8" t="n"/>
      <c r="O192" s="8" t="n"/>
      <c r="P192" s="8" t="n"/>
      <c r="Q192" s="8" t="n"/>
    </row>
    <row r="193">
      <c r="A193" s="9" t="n"/>
      <c r="B193" s="8" t="n"/>
      <c r="C193" s="8" t="n"/>
      <c r="D193" s="8" t="n"/>
      <c r="E193" s="8" t="n"/>
      <c r="F193" s="8" t="n"/>
      <c r="G193" s="8" t="n"/>
      <c r="H193" s="8" t="n"/>
      <c r="I193" s="12" t="n"/>
      <c r="J193" s="15">
        <f>IFERROR(I193/G193,"")</f>
        <v/>
      </c>
      <c r="K193" s="8" t="n"/>
      <c r="L193" s="8" t="n"/>
      <c r="M193" s="8" t="n"/>
      <c r="N193" s="8" t="n"/>
      <c r="O193" s="8" t="n"/>
      <c r="P193" s="8" t="n"/>
      <c r="Q193" s="8" t="n"/>
    </row>
    <row r="194">
      <c r="A194" s="9" t="n"/>
      <c r="B194" s="8" t="n"/>
      <c r="C194" s="8" t="n"/>
      <c r="D194" s="8" t="n"/>
      <c r="E194" s="8" t="n"/>
      <c r="F194" s="8" t="n"/>
      <c r="G194" s="8" t="n"/>
      <c r="H194" s="8" t="n"/>
      <c r="I194" s="12" t="n"/>
      <c r="J194" s="15">
        <f>IFERROR(I194/G194,"")</f>
        <v/>
      </c>
      <c r="K194" s="8" t="n"/>
      <c r="L194" s="8" t="n"/>
      <c r="M194" s="8" t="n"/>
      <c r="N194" s="8" t="n"/>
      <c r="O194" s="8" t="n"/>
      <c r="P194" s="8" t="n"/>
      <c r="Q194" s="8" t="n"/>
    </row>
    <row r="195">
      <c r="A195" s="9" t="n"/>
      <c r="B195" s="8" t="n"/>
      <c r="C195" s="8" t="n"/>
      <c r="D195" s="8" t="n"/>
      <c r="E195" s="8" t="n"/>
      <c r="F195" s="8" t="n"/>
      <c r="G195" s="8" t="n"/>
      <c r="H195" s="8" t="n"/>
      <c r="I195" s="12" t="n"/>
      <c r="J195" s="15">
        <f>IFERROR(I195/G195,"")</f>
        <v/>
      </c>
      <c r="K195" s="8" t="n"/>
      <c r="L195" s="8" t="n"/>
      <c r="M195" s="8" t="n"/>
      <c r="N195" s="8" t="n"/>
      <c r="O195" s="8" t="n"/>
      <c r="P195" s="8" t="n"/>
      <c r="Q195" s="8" t="n"/>
    </row>
    <row r="196">
      <c r="A196" s="9" t="n"/>
      <c r="B196" s="8" t="n"/>
      <c r="C196" s="8" t="n"/>
      <c r="D196" s="8" t="n"/>
      <c r="E196" s="8" t="n"/>
      <c r="F196" s="8" t="n"/>
      <c r="G196" s="8" t="n"/>
      <c r="H196" s="8" t="n"/>
      <c r="I196" s="12" t="n"/>
      <c r="J196" s="15">
        <f>IFERROR(I196/G196,"")</f>
        <v/>
      </c>
      <c r="K196" s="8" t="n"/>
      <c r="L196" s="8" t="n"/>
      <c r="M196" s="8" t="n"/>
      <c r="N196" s="8" t="n"/>
      <c r="O196" s="8" t="n"/>
      <c r="P196" s="8" t="n"/>
      <c r="Q196" s="8" t="n"/>
    </row>
    <row r="197">
      <c r="A197" s="9" t="n"/>
      <c r="B197" s="8" t="n"/>
      <c r="C197" s="8" t="n"/>
      <c r="D197" s="8" t="n"/>
      <c r="E197" s="8" t="n"/>
      <c r="F197" s="8" t="n"/>
      <c r="G197" s="8" t="n"/>
      <c r="H197" s="8" t="n"/>
      <c r="I197" s="12" t="n"/>
      <c r="J197" s="15">
        <f>IFERROR(I197/G197,"")</f>
        <v/>
      </c>
      <c r="K197" s="8" t="n"/>
      <c r="L197" s="8" t="n"/>
      <c r="M197" s="8" t="n"/>
      <c r="N197" s="8" t="n"/>
      <c r="O197" s="8" t="n"/>
      <c r="P197" s="8" t="n"/>
      <c r="Q197" s="8" t="n"/>
    </row>
    <row r="198">
      <c r="A198" s="9" t="n"/>
      <c r="B198" s="8" t="n"/>
      <c r="C198" s="8" t="n"/>
      <c r="D198" s="8" t="n"/>
      <c r="E198" s="8" t="n"/>
      <c r="F198" s="8" t="n"/>
      <c r="G198" s="8" t="n"/>
      <c r="H198" s="8" t="n"/>
      <c r="I198" s="12" t="n"/>
      <c r="J198" s="15">
        <f>IFERROR(I198/G198,"")</f>
        <v/>
      </c>
      <c r="K198" s="8" t="n"/>
      <c r="L198" s="8" t="n"/>
      <c r="M198" s="8" t="n"/>
      <c r="N198" s="8" t="n"/>
      <c r="O198" s="8" t="n"/>
      <c r="P198" s="8" t="n"/>
      <c r="Q198" s="8" t="n"/>
    </row>
    <row r="199">
      <c r="A199" s="9" t="n"/>
      <c r="B199" s="8" t="n"/>
      <c r="C199" s="8" t="n"/>
      <c r="D199" s="8" t="n"/>
      <c r="E199" s="8" t="n"/>
      <c r="F199" s="8" t="n"/>
      <c r="G199" s="8" t="n"/>
      <c r="H199" s="8" t="n"/>
      <c r="I199" s="12" t="n"/>
      <c r="J199" s="15">
        <f>IFERROR(I199/G199,"")</f>
        <v/>
      </c>
      <c r="K199" s="8" t="n"/>
      <c r="L199" s="8" t="n"/>
      <c r="M199" s="8" t="n"/>
      <c r="N199" s="8" t="n"/>
      <c r="O199" s="8" t="n"/>
      <c r="P199" s="8" t="n"/>
      <c r="Q199" s="8" t="n"/>
    </row>
    <row r="200">
      <c r="A200" s="9" t="n"/>
      <c r="B200" s="8" t="n"/>
      <c r="C200" s="8" t="n"/>
      <c r="D200" s="8" t="n"/>
      <c r="E200" s="8" t="n"/>
      <c r="F200" s="8" t="n"/>
      <c r="G200" s="8" t="n"/>
      <c r="H200" s="8" t="n"/>
      <c r="I200" s="12" t="n"/>
      <c r="J200" s="15">
        <f>IFERROR(I200/G200,"")</f>
        <v/>
      </c>
      <c r="K200" s="8" t="n"/>
      <c r="L200" s="8" t="n"/>
      <c r="M200" s="8" t="n"/>
      <c r="N200" s="8" t="n"/>
      <c r="O200" s="8" t="n"/>
      <c r="P200" s="8" t="n"/>
      <c r="Q200" s="8" t="n"/>
    </row>
    <row r="201">
      <c r="A201" s="9" t="n"/>
      <c r="B201" s="8" t="n"/>
      <c r="C201" s="8" t="n"/>
      <c r="D201" s="8" t="n"/>
      <c r="E201" s="8" t="n"/>
      <c r="F201" s="8" t="n"/>
      <c r="G201" s="8" t="n"/>
      <c r="H201" s="8" t="n"/>
      <c r="I201" s="12" t="n"/>
      <c r="J201" s="15">
        <f>IFERROR(I201/G201,"")</f>
        <v/>
      </c>
      <c r="K201" s="8" t="n"/>
      <c r="L201" s="8" t="n"/>
      <c r="M201" s="8" t="n"/>
      <c r="N201" s="8" t="n"/>
      <c r="O201" s="8" t="n"/>
      <c r="P201" s="8" t="n"/>
      <c r="Q201" s="8" t="n"/>
    </row>
    <row r="202">
      <c r="A202" s="9" t="n"/>
      <c r="B202" s="8" t="n"/>
      <c r="C202" s="8" t="n"/>
      <c r="D202" s="8" t="n"/>
      <c r="E202" s="8" t="n"/>
      <c r="F202" s="8" t="n"/>
      <c r="G202" s="8" t="n"/>
      <c r="H202" s="8" t="n"/>
      <c r="I202" s="12" t="n"/>
      <c r="J202" s="15">
        <f>IFERROR(I202/G202,"")</f>
        <v/>
      </c>
      <c r="K202" s="8" t="n"/>
      <c r="L202" s="8" t="n"/>
      <c r="M202" s="8" t="n"/>
      <c r="N202" s="8" t="n"/>
      <c r="O202" s="8" t="n"/>
      <c r="P202" s="8" t="n"/>
      <c r="Q202" s="8" t="n"/>
    </row>
    <row r="203">
      <c r="A203" s="9" t="n"/>
      <c r="B203" s="8" t="n"/>
      <c r="C203" s="8" t="n"/>
      <c r="D203" s="8" t="n"/>
      <c r="E203" s="8" t="n"/>
      <c r="F203" s="8" t="n"/>
      <c r="G203" s="8" t="n"/>
      <c r="H203" s="8" t="n"/>
      <c r="I203" s="12" t="n"/>
      <c r="J203" s="15">
        <f>IFERROR(I203/G203,"")</f>
        <v/>
      </c>
      <c r="K203" s="8" t="n"/>
      <c r="L203" s="8" t="n"/>
      <c r="M203" s="8" t="n"/>
      <c r="N203" s="8" t="n"/>
      <c r="O203" s="8" t="n"/>
      <c r="P203" s="8" t="n"/>
      <c r="Q203" s="8" t="n"/>
    </row>
    <row r="204">
      <c r="A204" s="9" t="n"/>
      <c r="B204" s="8" t="n"/>
      <c r="C204" s="8" t="n"/>
      <c r="D204" s="8" t="n"/>
      <c r="E204" s="8" t="n"/>
      <c r="F204" s="8" t="n"/>
      <c r="G204" s="8" t="n"/>
      <c r="H204" s="8" t="n"/>
      <c r="I204" s="12" t="n"/>
      <c r="J204" s="15">
        <f>IFERROR(I204/G204,"")</f>
        <v/>
      </c>
      <c r="K204" s="8" t="n"/>
      <c r="L204" s="8" t="n"/>
      <c r="M204" s="8" t="n"/>
      <c r="N204" s="8" t="n"/>
      <c r="O204" s="8" t="n"/>
      <c r="P204" s="8" t="n"/>
      <c r="Q204" s="8" t="n"/>
    </row>
    <row r="205">
      <c r="A205" s="9" t="n"/>
      <c r="B205" s="8" t="n"/>
      <c r="C205" s="8" t="n"/>
      <c r="D205" s="8" t="n"/>
      <c r="E205" s="8" t="n"/>
      <c r="F205" s="8" t="n"/>
      <c r="G205" s="8" t="n"/>
      <c r="H205" s="8" t="n"/>
      <c r="I205" s="12" t="n"/>
      <c r="J205" s="15">
        <f>IFERROR(I205/G205,"")</f>
        <v/>
      </c>
      <c r="K205" s="8" t="n"/>
      <c r="L205" s="8" t="n"/>
      <c r="M205" s="8" t="n"/>
      <c r="N205" s="8" t="n"/>
      <c r="O205" s="8" t="n"/>
      <c r="P205" s="8" t="n"/>
      <c r="Q205" s="8" t="n"/>
    </row>
    <row r="206">
      <c r="A206" s="9" t="n"/>
      <c r="B206" s="8" t="n"/>
      <c r="C206" s="8" t="n"/>
      <c r="D206" s="8" t="n"/>
      <c r="E206" s="8" t="n"/>
      <c r="F206" s="8" t="n"/>
      <c r="G206" s="8" t="n"/>
      <c r="H206" s="8" t="n"/>
      <c r="I206" s="12" t="n"/>
      <c r="J206" s="15">
        <f>IFERROR(I206/G206,"")</f>
        <v/>
      </c>
      <c r="K206" s="8" t="n"/>
      <c r="L206" s="8" t="n"/>
      <c r="M206" s="8" t="n"/>
      <c r="N206" s="8" t="n"/>
      <c r="O206" s="8" t="n"/>
      <c r="P206" s="8" t="n"/>
      <c r="Q206" s="8" t="n"/>
    </row>
    <row r="207">
      <c r="A207" s="9" t="n"/>
      <c r="B207" s="8" t="n"/>
      <c r="C207" s="8" t="n"/>
      <c r="D207" s="8" t="n"/>
      <c r="E207" s="8" t="n"/>
      <c r="F207" s="8" t="n"/>
      <c r="G207" s="8" t="n"/>
      <c r="H207" s="8" t="n"/>
      <c r="I207" s="12" t="n"/>
      <c r="J207" s="15">
        <f>IFERROR(I207/G207,"")</f>
        <v/>
      </c>
      <c r="K207" s="8" t="n"/>
      <c r="L207" s="8" t="n"/>
      <c r="M207" s="8" t="n"/>
      <c r="N207" s="8" t="n"/>
      <c r="O207" s="8" t="n"/>
      <c r="P207" s="8" t="n"/>
      <c r="Q207" s="8" t="n"/>
    </row>
    <row r="208">
      <c r="A208" s="9" t="n"/>
      <c r="B208" s="8" t="n"/>
      <c r="C208" s="8" t="n"/>
      <c r="D208" s="8" t="n"/>
      <c r="E208" s="8" t="n"/>
      <c r="F208" s="8" t="n"/>
      <c r="G208" s="8" t="n"/>
      <c r="H208" s="8" t="n"/>
      <c r="I208" s="12" t="n"/>
      <c r="J208" s="15">
        <f>IFERROR(I208/G208,"")</f>
        <v/>
      </c>
      <c r="K208" s="8" t="n"/>
      <c r="L208" s="8" t="n"/>
      <c r="M208" s="8" t="n"/>
      <c r="N208" s="8" t="n"/>
      <c r="O208" s="8" t="n"/>
      <c r="P208" s="8" t="n"/>
      <c r="Q208" s="8" t="n"/>
    </row>
    <row r="209">
      <c r="A209" s="9" t="n"/>
      <c r="B209" s="8" t="n"/>
      <c r="C209" s="8" t="n"/>
      <c r="D209" s="8" t="n"/>
      <c r="E209" s="8" t="n"/>
      <c r="F209" s="8" t="n"/>
      <c r="G209" s="8" t="n"/>
      <c r="H209" s="8" t="n"/>
      <c r="I209" s="12" t="n"/>
      <c r="J209" s="15">
        <f>IFERROR(I209/G209,"")</f>
        <v/>
      </c>
      <c r="K209" s="8" t="n"/>
      <c r="L209" s="8" t="n"/>
      <c r="M209" s="8" t="n"/>
      <c r="N209" s="8" t="n"/>
      <c r="O209" s="8" t="n"/>
      <c r="P209" s="8" t="n"/>
      <c r="Q209" s="8" t="n"/>
    </row>
    <row r="210">
      <c r="A210" s="9" t="n"/>
      <c r="B210" s="8" t="n"/>
      <c r="C210" s="8" t="n"/>
      <c r="D210" s="8" t="n"/>
      <c r="E210" s="8" t="n"/>
      <c r="F210" s="8" t="n"/>
      <c r="G210" s="8" t="n"/>
      <c r="H210" s="8" t="n"/>
      <c r="I210" s="12" t="n"/>
      <c r="J210" s="15">
        <f>IFERROR(I210/G210,"")</f>
        <v/>
      </c>
      <c r="K210" s="8" t="n"/>
      <c r="L210" s="8" t="n"/>
      <c r="M210" s="8" t="n"/>
      <c r="N210" s="8" t="n"/>
      <c r="O210" s="8" t="n"/>
      <c r="P210" s="8" t="n"/>
      <c r="Q210" s="8" t="n"/>
    </row>
    <row r="211">
      <c r="A211" s="9" t="n"/>
      <c r="B211" s="8" t="n"/>
      <c r="C211" s="8" t="n"/>
      <c r="D211" s="8" t="n"/>
      <c r="E211" s="8" t="n"/>
      <c r="F211" s="8" t="n"/>
      <c r="G211" s="8" t="n"/>
      <c r="H211" s="8" t="n"/>
      <c r="I211" s="12" t="n"/>
      <c r="J211" s="15">
        <f>IFERROR(I211/G211,"")</f>
        <v/>
      </c>
      <c r="K211" s="8" t="n"/>
      <c r="L211" s="8" t="n"/>
      <c r="M211" s="8" t="n"/>
      <c r="N211" s="8" t="n"/>
      <c r="O211" s="8" t="n"/>
      <c r="P211" s="8" t="n"/>
      <c r="Q211" s="8" t="n"/>
    </row>
    <row r="212">
      <c r="A212" s="9" t="n"/>
      <c r="B212" s="8" t="n"/>
      <c r="C212" s="8" t="n"/>
      <c r="D212" s="8" t="n"/>
      <c r="E212" s="8" t="n"/>
      <c r="F212" s="8" t="n"/>
      <c r="G212" s="8" t="n"/>
      <c r="H212" s="8" t="n"/>
      <c r="I212" s="12" t="n"/>
      <c r="J212" s="15">
        <f>IFERROR(I212/G212,"")</f>
        <v/>
      </c>
      <c r="K212" s="8" t="n"/>
      <c r="L212" s="8" t="n"/>
      <c r="M212" s="8" t="n"/>
      <c r="N212" s="8" t="n"/>
      <c r="O212" s="8" t="n"/>
      <c r="P212" s="8" t="n"/>
      <c r="Q212" s="8" t="n"/>
    </row>
    <row r="213">
      <c r="A213" s="9" t="n"/>
      <c r="B213" s="8" t="n"/>
      <c r="C213" s="8" t="n"/>
      <c r="D213" s="8" t="n"/>
      <c r="E213" s="8" t="n"/>
      <c r="F213" s="8" t="n"/>
      <c r="G213" s="8" t="n"/>
      <c r="H213" s="8" t="n"/>
      <c r="I213" s="12" t="n"/>
      <c r="J213" s="15">
        <f>IFERROR(I213/G213,"")</f>
        <v/>
      </c>
      <c r="K213" s="8" t="n"/>
      <c r="L213" s="8" t="n"/>
      <c r="M213" s="8" t="n"/>
      <c r="N213" s="8" t="n"/>
      <c r="O213" s="8" t="n"/>
      <c r="P213" s="8" t="n"/>
      <c r="Q213" s="8" t="n"/>
    </row>
    <row r="214">
      <c r="A214" s="9" t="n"/>
      <c r="B214" s="8" t="n"/>
      <c r="C214" s="8" t="n"/>
      <c r="D214" s="8" t="n"/>
      <c r="E214" s="8" t="n"/>
      <c r="F214" s="8" t="n"/>
      <c r="G214" s="8" t="n"/>
      <c r="H214" s="8" t="n"/>
      <c r="I214" s="12" t="n"/>
      <c r="J214" s="15">
        <f>IFERROR(I214/G214,"")</f>
        <v/>
      </c>
      <c r="K214" s="8" t="n"/>
      <c r="L214" s="8" t="n"/>
      <c r="M214" s="8" t="n"/>
      <c r="N214" s="8" t="n"/>
      <c r="O214" s="8" t="n"/>
      <c r="P214" s="8" t="n"/>
      <c r="Q214" s="8" t="n"/>
    </row>
    <row r="215">
      <c r="A215" s="9" t="n"/>
      <c r="B215" s="8" t="n"/>
      <c r="C215" s="8" t="n"/>
      <c r="D215" s="8" t="n"/>
      <c r="E215" s="8" t="n"/>
      <c r="F215" s="8" t="n"/>
      <c r="G215" s="8" t="n"/>
      <c r="H215" s="8" t="n"/>
      <c r="I215" s="12" t="n"/>
      <c r="J215" s="15">
        <f>IFERROR(I215/G215,"")</f>
        <v/>
      </c>
      <c r="K215" s="8" t="n"/>
      <c r="L215" s="8" t="n"/>
      <c r="M215" s="8" t="n"/>
      <c r="N215" s="8" t="n"/>
      <c r="O215" s="8" t="n"/>
      <c r="P215" s="8" t="n"/>
      <c r="Q215" s="8" t="n"/>
    </row>
    <row r="216">
      <c r="A216" s="9" t="n"/>
      <c r="B216" s="8" t="n"/>
      <c r="C216" s="8" t="n"/>
      <c r="D216" s="8" t="n"/>
      <c r="E216" s="8" t="n"/>
      <c r="F216" s="8" t="n"/>
      <c r="G216" s="8" t="n"/>
      <c r="H216" s="8" t="n"/>
      <c r="I216" s="12" t="n"/>
      <c r="J216" s="15">
        <f>IFERROR(I216/G216,"")</f>
        <v/>
      </c>
      <c r="K216" s="8" t="n"/>
      <c r="L216" s="8" t="n"/>
      <c r="M216" s="8" t="n"/>
      <c r="N216" s="8" t="n"/>
      <c r="O216" s="8" t="n"/>
      <c r="P216" s="8" t="n"/>
      <c r="Q216" s="8" t="n"/>
    </row>
    <row r="217">
      <c r="A217" s="9" t="n"/>
      <c r="B217" s="8" t="n"/>
      <c r="C217" s="8" t="n"/>
      <c r="D217" s="8" t="n"/>
      <c r="E217" s="8" t="n"/>
      <c r="F217" s="8" t="n"/>
      <c r="G217" s="8" t="n"/>
      <c r="H217" s="8" t="n"/>
      <c r="I217" s="12" t="n"/>
      <c r="J217" s="15">
        <f>IFERROR(I217/G217,"")</f>
        <v/>
      </c>
      <c r="K217" s="8" t="n"/>
      <c r="L217" s="8" t="n"/>
      <c r="M217" s="8" t="n"/>
      <c r="N217" s="8" t="n"/>
      <c r="O217" s="8" t="n"/>
      <c r="P217" s="8" t="n"/>
      <c r="Q217" s="8" t="n"/>
    </row>
    <row r="218">
      <c r="A218" s="9" t="n"/>
      <c r="B218" s="8" t="n"/>
      <c r="C218" s="8" t="n"/>
      <c r="D218" s="8" t="n"/>
      <c r="E218" s="8" t="n"/>
      <c r="F218" s="8" t="n"/>
      <c r="G218" s="8" t="n"/>
      <c r="H218" s="8" t="n"/>
      <c r="I218" s="12" t="n"/>
      <c r="J218" s="15">
        <f>IFERROR(I218/G218,"")</f>
        <v/>
      </c>
      <c r="K218" s="8" t="n"/>
      <c r="L218" s="8" t="n"/>
      <c r="M218" s="8" t="n"/>
      <c r="N218" s="8" t="n"/>
      <c r="O218" s="8" t="n"/>
      <c r="P218" s="8" t="n"/>
      <c r="Q218" s="8" t="n"/>
    </row>
    <row r="219">
      <c r="A219" s="9" t="n"/>
      <c r="B219" s="8" t="n"/>
      <c r="C219" s="8" t="n"/>
      <c r="D219" s="8" t="n"/>
      <c r="E219" s="8" t="n"/>
      <c r="F219" s="8" t="n"/>
      <c r="G219" s="8" t="n"/>
      <c r="H219" s="8" t="n"/>
      <c r="I219" s="12" t="n"/>
      <c r="J219" s="15">
        <f>IFERROR(I219/G219,"")</f>
        <v/>
      </c>
      <c r="K219" s="8" t="n"/>
      <c r="L219" s="8" t="n"/>
      <c r="M219" s="8" t="n"/>
      <c r="N219" s="8" t="n"/>
      <c r="O219" s="8" t="n"/>
      <c r="P219" s="8" t="n"/>
      <c r="Q219" s="8" t="n"/>
    </row>
    <row r="220">
      <c r="A220" s="9" t="n"/>
      <c r="B220" s="8" t="n"/>
      <c r="C220" s="8" t="n"/>
      <c r="D220" s="8" t="n"/>
      <c r="E220" s="8" t="n"/>
      <c r="F220" s="8" t="n"/>
      <c r="G220" s="8" t="n"/>
      <c r="H220" s="8" t="n"/>
      <c r="I220" s="12" t="n"/>
      <c r="J220" s="15">
        <f>IFERROR(I220/G220,"")</f>
        <v/>
      </c>
      <c r="K220" s="8" t="n"/>
      <c r="L220" s="8" t="n"/>
      <c r="M220" s="8" t="n"/>
      <c r="N220" s="8" t="n"/>
      <c r="O220" s="8" t="n"/>
      <c r="P220" s="8" t="n"/>
      <c r="Q220" s="8" t="n"/>
    </row>
    <row r="221">
      <c r="A221" s="9" t="n"/>
      <c r="B221" s="8" t="n"/>
      <c r="C221" s="8" t="n"/>
      <c r="D221" s="8" t="n"/>
      <c r="E221" s="8" t="n"/>
      <c r="F221" s="8" t="n"/>
      <c r="G221" s="8" t="n"/>
      <c r="H221" s="8" t="n"/>
      <c r="I221" s="12" t="n"/>
      <c r="J221" s="15">
        <f>IFERROR(I221/G221,"")</f>
        <v/>
      </c>
      <c r="K221" s="8" t="n"/>
      <c r="L221" s="8" t="n"/>
      <c r="M221" s="8" t="n"/>
      <c r="N221" s="8" t="n"/>
      <c r="O221" s="8" t="n"/>
      <c r="P221" s="8" t="n"/>
      <c r="Q221" s="8" t="n"/>
    </row>
    <row r="222">
      <c r="A222" s="9" t="n"/>
      <c r="B222" s="8" t="n"/>
      <c r="C222" s="8" t="n"/>
      <c r="D222" s="8" t="n"/>
      <c r="E222" s="8" t="n"/>
      <c r="F222" s="8" t="n"/>
      <c r="G222" s="8" t="n"/>
      <c r="H222" s="8" t="n"/>
      <c r="I222" s="12" t="n"/>
      <c r="J222" s="15">
        <f>IFERROR(I222/G222,"")</f>
        <v/>
      </c>
      <c r="K222" s="8" t="n"/>
      <c r="L222" s="8" t="n"/>
      <c r="M222" s="8" t="n"/>
      <c r="N222" s="8" t="n"/>
      <c r="O222" s="8" t="n"/>
      <c r="P222" s="8" t="n"/>
      <c r="Q222" s="8" t="n"/>
    </row>
    <row r="223">
      <c r="A223" s="9" t="n"/>
      <c r="B223" s="8" t="n"/>
      <c r="C223" s="8" t="n"/>
      <c r="D223" s="8" t="n"/>
      <c r="E223" s="8" t="n"/>
      <c r="F223" s="8" t="n"/>
      <c r="G223" s="8" t="n"/>
      <c r="H223" s="8" t="n"/>
      <c r="I223" s="12" t="n"/>
      <c r="J223" s="15">
        <f>IFERROR(I223/G223,"")</f>
        <v/>
      </c>
      <c r="K223" s="8" t="n"/>
      <c r="L223" s="8" t="n"/>
      <c r="M223" s="8" t="n"/>
      <c r="N223" s="8" t="n"/>
      <c r="O223" s="8" t="n"/>
      <c r="P223" s="8" t="n"/>
      <c r="Q223" s="8" t="n"/>
    </row>
    <row r="224">
      <c r="A224" s="9" t="n"/>
      <c r="B224" s="8" t="n"/>
      <c r="C224" s="8" t="n"/>
      <c r="D224" s="8" t="n"/>
      <c r="E224" s="8" t="n"/>
      <c r="F224" s="8" t="n"/>
      <c r="G224" s="8" t="n"/>
      <c r="H224" s="8" t="n"/>
      <c r="I224" s="12" t="n"/>
      <c r="J224" s="15">
        <f>IFERROR(I224/G224,"")</f>
        <v/>
      </c>
      <c r="K224" s="8" t="n"/>
      <c r="L224" s="8" t="n"/>
      <c r="M224" s="8" t="n"/>
      <c r="N224" s="8" t="n"/>
      <c r="O224" s="8" t="n"/>
      <c r="P224" s="8" t="n"/>
      <c r="Q224" s="8" t="n"/>
    </row>
    <row r="225">
      <c r="A225" s="9" t="n"/>
      <c r="B225" s="8" t="n"/>
      <c r="C225" s="8" t="n"/>
      <c r="D225" s="8" t="n"/>
      <c r="E225" s="8" t="n"/>
      <c r="F225" s="8" t="n"/>
      <c r="G225" s="8" t="n"/>
      <c r="H225" s="8" t="n"/>
      <c r="I225" s="12" t="n"/>
      <c r="J225" s="15">
        <f>IFERROR(I225/G225,"")</f>
        <v/>
      </c>
      <c r="K225" s="8" t="n"/>
      <c r="L225" s="8" t="n"/>
      <c r="M225" s="8" t="n"/>
      <c r="N225" s="8" t="n"/>
      <c r="O225" s="8" t="n"/>
      <c r="P225" s="8" t="n"/>
      <c r="Q225" s="8" t="n"/>
    </row>
    <row r="226">
      <c r="A226" s="9" t="n"/>
      <c r="B226" s="8" t="n"/>
      <c r="C226" s="8" t="n"/>
      <c r="D226" s="8" t="n"/>
      <c r="E226" s="8" t="n"/>
      <c r="F226" s="8" t="n"/>
      <c r="G226" s="8" t="n"/>
      <c r="H226" s="8" t="n"/>
      <c r="I226" s="12" t="n"/>
      <c r="J226" s="15">
        <f>IFERROR(I226/G226,"")</f>
        <v/>
      </c>
      <c r="K226" s="8" t="n"/>
      <c r="L226" s="8" t="n"/>
      <c r="M226" s="8" t="n"/>
      <c r="N226" s="8" t="n"/>
      <c r="O226" s="8" t="n"/>
      <c r="P226" s="8" t="n"/>
      <c r="Q226" s="8" t="n"/>
    </row>
    <row r="227">
      <c r="A227" s="9" t="n"/>
      <c r="B227" s="8" t="n"/>
      <c r="C227" s="8" t="n"/>
      <c r="D227" s="8" t="n"/>
      <c r="E227" s="8" t="n"/>
      <c r="F227" s="8" t="n"/>
      <c r="G227" s="8" t="n"/>
      <c r="H227" s="8" t="n"/>
      <c r="I227" s="12" t="n"/>
      <c r="J227" s="15">
        <f>IFERROR(I227/G227,"")</f>
        <v/>
      </c>
      <c r="K227" s="8" t="n"/>
      <c r="L227" s="8" t="n"/>
      <c r="M227" s="8" t="n"/>
      <c r="N227" s="8" t="n"/>
      <c r="O227" s="8" t="n"/>
      <c r="P227" s="8" t="n"/>
      <c r="Q227" s="8" t="n"/>
    </row>
    <row r="228">
      <c r="A228" s="9" t="n"/>
      <c r="B228" s="8" t="n"/>
      <c r="C228" s="8" t="n"/>
      <c r="D228" s="8" t="n"/>
      <c r="E228" s="8" t="n"/>
      <c r="F228" s="8" t="n"/>
      <c r="G228" s="8" t="n"/>
      <c r="H228" s="8" t="n"/>
      <c r="I228" s="12" t="n"/>
      <c r="J228" s="15">
        <f>IFERROR(I228/G228,"")</f>
        <v/>
      </c>
      <c r="K228" s="8" t="n"/>
      <c r="L228" s="8" t="n"/>
      <c r="M228" s="8" t="n"/>
      <c r="N228" s="8" t="n"/>
      <c r="O228" s="8" t="n"/>
      <c r="P228" s="8" t="n"/>
      <c r="Q228" s="8" t="n"/>
    </row>
    <row r="229">
      <c r="A229" s="9" t="n"/>
      <c r="B229" s="8" t="n"/>
      <c r="C229" s="8" t="n"/>
      <c r="D229" s="8" t="n"/>
      <c r="E229" s="8" t="n"/>
      <c r="F229" s="8" t="n"/>
      <c r="G229" s="8" t="n"/>
      <c r="H229" s="8" t="n"/>
      <c r="I229" s="12" t="n"/>
      <c r="J229" s="15">
        <f>IFERROR(I229/G229,"")</f>
        <v/>
      </c>
      <c r="K229" s="8" t="n"/>
      <c r="L229" s="8" t="n"/>
      <c r="M229" s="8" t="n"/>
      <c r="N229" s="8" t="n"/>
      <c r="O229" s="8" t="n"/>
      <c r="P229" s="8" t="n"/>
      <c r="Q229" s="8" t="n"/>
    </row>
    <row r="230">
      <c r="A230" s="9" t="n"/>
      <c r="B230" s="8" t="n"/>
      <c r="C230" s="8" t="n"/>
      <c r="D230" s="8" t="n"/>
      <c r="E230" s="8" t="n"/>
      <c r="F230" s="8" t="n"/>
      <c r="G230" s="8" t="n"/>
      <c r="H230" s="8" t="n"/>
      <c r="I230" s="12" t="n"/>
      <c r="J230" s="15">
        <f>IFERROR(I230/G230,"")</f>
        <v/>
      </c>
      <c r="K230" s="8" t="n"/>
      <c r="L230" s="8" t="n"/>
      <c r="M230" s="8" t="n"/>
      <c r="N230" s="8" t="n"/>
      <c r="O230" s="8" t="n"/>
      <c r="P230" s="8" t="n"/>
      <c r="Q230" s="8" t="n"/>
    </row>
    <row r="231">
      <c r="A231" s="9" t="n"/>
      <c r="B231" s="8" t="n"/>
      <c r="C231" s="8" t="n"/>
      <c r="D231" s="8" t="n"/>
      <c r="E231" s="8" t="n"/>
      <c r="F231" s="8" t="n"/>
      <c r="G231" s="8" t="n"/>
      <c r="H231" s="8" t="n"/>
      <c r="I231" s="12" t="n"/>
      <c r="J231" s="15">
        <f>IFERROR(I231/G231,"")</f>
        <v/>
      </c>
      <c r="K231" s="8" t="n"/>
      <c r="L231" s="8" t="n"/>
      <c r="M231" s="8" t="n"/>
      <c r="N231" s="8" t="n"/>
      <c r="O231" s="8" t="n"/>
      <c r="P231" s="8" t="n"/>
      <c r="Q231" s="8" t="n"/>
    </row>
    <row r="232">
      <c r="A232" s="9" t="n"/>
      <c r="B232" s="8" t="n"/>
      <c r="C232" s="8" t="n"/>
      <c r="D232" s="8" t="n"/>
      <c r="E232" s="8" t="n"/>
      <c r="F232" s="8" t="n"/>
      <c r="G232" s="8" t="n"/>
      <c r="H232" s="8" t="n"/>
      <c r="I232" s="12" t="n"/>
      <c r="J232" s="15">
        <f>IFERROR(I232/G232,"")</f>
        <v/>
      </c>
      <c r="K232" s="8" t="n"/>
      <c r="L232" s="8" t="n"/>
      <c r="M232" s="8" t="n"/>
      <c r="N232" s="8" t="n"/>
      <c r="O232" s="8" t="n"/>
      <c r="P232" s="8" t="n"/>
      <c r="Q232" s="8" t="n"/>
    </row>
    <row r="233">
      <c r="A233" s="9" t="n"/>
      <c r="B233" s="8" t="n"/>
      <c r="C233" s="8" t="n"/>
      <c r="D233" s="8" t="n"/>
      <c r="E233" s="8" t="n"/>
      <c r="F233" s="8" t="n"/>
      <c r="G233" s="8" t="n"/>
      <c r="H233" s="8" t="n"/>
      <c r="I233" s="12" t="n"/>
      <c r="J233" s="15">
        <f>IFERROR(I233/G233,"")</f>
        <v/>
      </c>
      <c r="K233" s="8" t="n"/>
      <c r="L233" s="8" t="n"/>
      <c r="M233" s="8" t="n"/>
      <c r="N233" s="8" t="n"/>
      <c r="O233" s="8" t="n"/>
      <c r="P233" s="8" t="n"/>
      <c r="Q233" s="8" t="n"/>
    </row>
    <row r="234">
      <c r="A234" s="9" t="n"/>
      <c r="B234" s="8" t="n"/>
      <c r="C234" s="8" t="n"/>
      <c r="D234" s="8" t="n"/>
      <c r="E234" s="8" t="n"/>
      <c r="F234" s="8" t="n"/>
      <c r="G234" s="8" t="n"/>
      <c r="H234" s="8" t="n"/>
      <c r="I234" s="12" t="n"/>
      <c r="J234" s="15">
        <f>IFERROR(I234/G234,"")</f>
        <v/>
      </c>
      <c r="K234" s="8" t="n"/>
      <c r="L234" s="8" t="n"/>
      <c r="M234" s="8" t="n"/>
      <c r="N234" s="8" t="n"/>
      <c r="O234" s="8" t="n"/>
      <c r="P234" s="8" t="n"/>
      <c r="Q234" s="8" t="n"/>
    </row>
    <row r="235">
      <c r="A235" s="9" t="n"/>
      <c r="B235" s="8" t="n"/>
      <c r="C235" s="8" t="n"/>
      <c r="D235" s="8" t="n"/>
      <c r="E235" s="8" t="n"/>
      <c r="F235" s="8" t="n"/>
      <c r="G235" s="8" t="n"/>
      <c r="H235" s="8" t="n"/>
      <c r="I235" s="12" t="n"/>
      <c r="J235" s="15">
        <f>IFERROR(I235/G235,"")</f>
        <v/>
      </c>
      <c r="K235" s="8" t="n"/>
      <c r="L235" s="8" t="n"/>
      <c r="M235" s="8" t="n"/>
      <c r="N235" s="8" t="n"/>
      <c r="O235" s="8" t="n"/>
      <c r="P235" s="8" t="n"/>
      <c r="Q235" s="8" t="n"/>
    </row>
    <row r="236">
      <c r="A236" s="9" t="n"/>
      <c r="B236" s="8" t="n"/>
      <c r="C236" s="8" t="n"/>
      <c r="D236" s="8" t="n"/>
      <c r="E236" s="8" t="n"/>
      <c r="F236" s="8" t="n"/>
      <c r="G236" s="8" t="n"/>
      <c r="H236" s="8" t="n"/>
      <c r="I236" s="12" t="n"/>
      <c r="J236" s="15">
        <f>IFERROR(I236/G236,"")</f>
        <v/>
      </c>
      <c r="K236" s="8" t="n"/>
      <c r="L236" s="8" t="n"/>
      <c r="M236" s="8" t="n"/>
      <c r="N236" s="8" t="n"/>
      <c r="O236" s="8" t="n"/>
      <c r="P236" s="8" t="n"/>
      <c r="Q236" s="8" t="n"/>
    </row>
    <row r="237">
      <c r="A237" s="9" t="n"/>
      <c r="B237" s="8" t="n"/>
      <c r="C237" s="8" t="n"/>
      <c r="D237" s="8" t="n"/>
      <c r="E237" s="8" t="n"/>
      <c r="F237" s="8" t="n"/>
      <c r="G237" s="8" t="n"/>
      <c r="H237" s="8" t="n"/>
      <c r="I237" s="12" t="n"/>
      <c r="J237" s="15">
        <f>IFERROR(I237/G237,"")</f>
        <v/>
      </c>
      <c r="K237" s="8" t="n"/>
      <c r="L237" s="8" t="n"/>
      <c r="M237" s="8" t="n"/>
      <c r="N237" s="8" t="n"/>
      <c r="O237" s="8" t="n"/>
      <c r="P237" s="8" t="n"/>
      <c r="Q237" s="8" t="n"/>
    </row>
    <row r="238">
      <c r="A238" s="9" t="n"/>
      <c r="B238" s="8" t="n"/>
      <c r="C238" s="8" t="n"/>
      <c r="D238" s="8" t="n"/>
      <c r="E238" s="8" t="n"/>
      <c r="F238" s="8" t="n"/>
      <c r="G238" s="8" t="n"/>
      <c r="H238" s="8" t="n"/>
      <c r="I238" s="12" t="n"/>
      <c r="J238" s="15">
        <f>IFERROR(I238/G238,"")</f>
        <v/>
      </c>
      <c r="K238" s="8" t="n"/>
      <c r="L238" s="8" t="n"/>
      <c r="M238" s="8" t="n"/>
      <c r="N238" s="8" t="n"/>
      <c r="O238" s="8" t="n"/>
      <c r="P238" s="8" t="n"/>
      <c r="Q238" s="8" t="n"/>
    </row>
    <row r="239">
      <c r="A239" s="9" t="n"/>
      <c r="B239" s="8" t="n"/>
      <c r="C239" s="8" t="n"/>
      <c r="D239" s="8" t="n"/>
      <c r="E239" s="8" t="n"/>
      <c r="F239" s="8" t="n"/>
      <c r="G239" s="8" t="n"/>
      <c r="H239" s="8" t="n"/>
      <c r="I239" s="12" t="n"/>
      <c r="J239" s="15">
        <f>IFERROR(I239/G239,"")</f>
        <v/>
      </c>
      <c r="K239" s="8" t="n"/>
      <c r="L239" s="8" t="n"/>
      <c r="M239" s="8" t="n"/>
      <c r="N239" s="8" t="n"/>
      <c r="O239" s="8" t="n"/>
      <c r="P239" s="8" t="n"/>
      <c r="Q239" s="8" t="n"/>
    </row>
    <row r="240">
      <c r="A240" s="9" t="n"/>
      <c r="B240" s="8" t="n"/>
      <c r="C240" s="8" t="n"/>
      <c r="D240" s="8" t="n"/>
      <c r="E240" s="8" t="n"/>
      <c r="F240" s="8" t="n"/>
      <c r="G240" s="8" t="n"/>
      <c r="H240" s="8" t="n"/>
      <c r="I240" s="12" t="n"/>
      <c r="J240" s="15">
        <f>IFERROR(I240/G240,"")</f>
        <v/>
      </c>
      <c r="K240" s="8" t="n"/>
      <c r="L240" s="8" t="n"/>
      <c r="M240" s="8" t="n"/>
      <c r="N240" s="8" t="n"/>
      <c r="O240" s="8" t="n"/>
      <c r="P240" s="8" t="n"/>
      <c r="Q240" s="8" t="n"/>
    </row>
    <row r="241">
      <c r="A241" s="9" t="n"/>
      <c r="B241" s="8" t="n"/>
      <c r="C241" s="8" t="n"/>
      <c r="D241" s="8" t="n"/>
      <c r="E241" s="8" t="n"/>
      <c r="F241" s="8" t="n"/>
      <c r="G241" s="8" t="n"/>
      <c r="H241" s="8" t="n"/>
      <c r="I241" s="12" t="n"/>
      <c r="J241" s="15">
        <f>IFERROR(I241/G241,"")</f>
        <v/>
      </c>
      <c r="K241" s="8" t="n"/>
      <c r="L241" s="8" t="n"/>
      <c r="M241" s="8" t="n"/>
      <c r="N241" s="8" t="n"/>
      <c r="O241" s="8" t="n"/>
      <c r="P241" s="8" t="n"/>
      <c r="Q241" s="8" t="n"/>
    </row>
    <row r="242">
      <c r="A242" s="9" t="n"/>
      <c r="B242" s="8" t="n"/>
      <c r="C242" s="8" t="n"/>
      <c r="D242" s="8" t="n"/>
      <c r="E242" s="8" t="n"/>
      <c r="F242" s="8" t="n"/>
      <c r="G242" s="8" t="n"/>
      <c r="H242" s="8" t="n"/>
      <c r="I242" s="12" t="n"/>
      <c r="J242" s="15">
        <f>IFERROR(I242/G242,"")</f>
        <v/>
      </c>
      <c r="K242" s="8" t="n"/>
      <c r="L242" s="8" t="n"/>
      <c r="M242" s="8" t="n"/>
      <c r="N242" s="8" t="n"/>
      <c r="O242" s="8" t="n"/>
      <c r="P242" s="8" t="n"/>
      <c r="Q242" s="8" t="n"/>
    </row>
    <row r="243">
      <c r="A243" s="9" t="n"/>
      <c r="B243" s="8" t="n"/>
      <c r="C243" s="8" t="n"/>
      <c r="D243" s="8" t="n"/>
      <c r="E243" s="8" t="n"/>
      <c r="F243" s="8" t="n"/>
      <c r="G243" s="8" t="n"/>
      <c r="H243" s="8" t="n"/>
      <c r="I243" s="12" t="n"/>
      <c r="J243" s="15">
        <f>IFERROR(I243/G243,"")</f>
        <v/>
      </c>
      <c r="K243" s="8" t="n"/>
      <c r="L243" s="8" t="n"/>
      <c r="M243" s="8" t="n"/>
      <c r="N243" s="8" t="n"/>
      <c r="O243" s="8" t="n"/>
      <c r="P243" s="8" t="n"/>
      <c r="Q243" s="8" t="n"/>
    </row>
    <row r="244">
      <c r="A244" s="9" t="n"/>
      <c r="B244" s="8" t="n"/>
      <c r="C244" s="8" t="n"/>
      <c r="D244" s="8" t="n"/>
      <c r="E244" s="8" t="n"/>
      <c r="F244" s="8" t="n"/>
      <c r="G244" s="8" t="n"/>
      <c r="H244" s="8" t="n"/>
      <c r="I244" s="12" t="n"/>
      <c r="J244" s="15">
        <f>IFERROR(I244/G244,"")</f>
        <v/>
      </c>
      <c r="K244" s="8" t="n"/>
      <c r="L244" s="8" t="n"/>
      <c r="M244" s="8" t="n"/>
      <c r="N244" s="8" t="n"/>
      <c r="O244" s="8" t="n"/>
      <c r="P244" s="8" t="n"/>
      <c r="Q244" s="8" t="n"/>
    </row>
    <row r="245">
      <c r="A245" s="9" t="n"/>
      <c r="B245" s="8" t="n"/>
      <c r="C245" s="8" t="n"/>
      <c r="D245" s="8" t="n"/>
      <c r="E245" s="8" t="n"/>
      <c r="F245" s="8" t="n"/>
      <c r="G245" s="8" t="n"/>
      <c r="H245" s="8" t="n"/>
      <c r="I245" s="12" t="n"/>
      <c r="J245" s="15">
        <f>IFERROR(I245/G245,"")</f>
        <v/>
      </c>
      <c r="K245" s="8" t="n"/>
      <c r="L245" s="8" t="n"/>
      <c r="M245" s="8" t="n"/>
      <c r="N245" s="8" t="n"/>
      <c r="O245" s="8" t="n"/>
      <c r="P245" s="8" t="n"/>
      <c r="Q245" s="8" t="n"/>
    </row>
    <row r="246">
      <c r="A246" s="9" t="n"/>
      <c r="B246" s="8" t="n"/>
      <c r="C246" s="8" t="n"/>
      <c r="D246" s="8" t="n"/>
      <c r="E246" s="8" t="n"/>
      <c r="F246" s="8" t="n"/>
      <c r="G246" s="8" t="n"/>
      <c r="H246" s="8" t="n"/>
      <c r="I246" s="12" t="n"/>
      <c r="J246" s="15">
        <f>IFERROR(I246/G246,"")</f>
        <v/>
      </c>
      <c r="K246" s="8" t="n"/>
      <c r="L246" s="8" t="n"/>
      <c r="M246" s="8" t="n"/>
      <c r="N246" s="8" t="n"/>
      <c r="O246" s="8" t="n"/>
      <c r="P246" s="8" t="n"/>
      <c r="Q246" s="8" t="n"/>
    </row>
    <row r="247">
      <c r="A247" s="9" t="n"/>
      <c r="B247" s="8" t="n"/>
      <c r="C247" s="8" t="n"/>
      <c r="D247" s="8" t="n"/>
      <c r="E247" s="8" t="n"/>
      <c r="F247" s="8" t="n"/>
      <c r="G247" s="8" t="n"/>
      <c r="H247" s="8" t="n"/>
      <c r="I247" s="12" t="n"/>
      <c r="J247" s="15">
        <f>IFERROR(I247/G247,"")</f>
        <v/>
      </c>
      <c r="K247" s="8" t="n"/>
      <c r="L247" s="8" t="n"/>
      <c r="M247" s="8" t="n"/>
      <c r="N247" s="8" t="n"/>
      <c r="O247" s="8" t="n"/>
      <c r="P247" s="8" t="n"/>
      <c r="Q247" s="8" t="n"/>
    </row>
    <row r="248">
      <c r="A248" s="9" t="n"/>
      <c r="B248" s="8" t="n"/>
      <c r="C248" s="8" t="n"/>
      <c r="D248" s="8" t="n"/>
      <c r="E248" s="8" t="n"/>
      <c r="F248" s="8" t="n"/>
      <c r="G248" s="8" t="n"/>
      <c r="H248" s="8" t="n"/>
      <c r="I248" s="12" t="n"/>
      <c r="J248" s="15">
        <f>IFERROR(I248/G248,"")</f>
        <v/>
      </c>
      <c r="K248" s="8" t="n"/>
      <c r="L248" s="8" t="n"/>
      <c r="M248" s="8" t="n"/>
      <c r="N248" s="8" t="n"/>
      <c r="O248" s="8" t="n"/>
      <c r="P248" s="8" t="n"/>
      <c r="Q248" s="8" t="n"/>
    </row>
    <row r="249">
      <c r="A249" s="9" t="n"/>
      <c r="B249" s="8" t="n"/>
      <c r="C249" s="8" t="n"/>
      <c r="D249" s="8" t="n"/>
      <c r="E249" s="8" t="n"/>
      <c r="F249" s="8" t="n"/>
      <c r="G249" s="8" t="n"/>
      <c r="H249" s="8" t="n"/>
      <c r="I249" s="12" t="n"/>
      <c r="J249" s="15">
        <f>IFERROR(I249/G249,"")</f>
        <v/>
      </c>
      <c r="K249" s="8" t="n"/>
      <c r="L249" s="8" t="n"/>
      <c r="M249" s="8" t="n"/>
      <c r="N249" s="8" t="n"/>
      <c r="O249" s="8" t="n"/>
      <c r="P249" s="8" t="n"/>
      <c r="Q249" s="8" t="n"/>
    </row>
    <row r="250">
      <c r="A250" s="9" t="n"/>
      <c r="B250" s="8" t="n"/>
      <c r="C250" s="8" t="n"/>
      <c r="D250" s="8" t="n"/>
      <c r="E250" s="8" t="n"/>
      <c r="F250" s="8" t="n"/>
      <c r="G250" s="8" t="n"/>
      <c r="H250" s="8" t="n"/>
      <c r="I250" s="12" t="n"/>
      <c r="J250" s="15">
        <f>IFERROR(I250/G250,"")</f>
        <v/>
      </c>
      <c r="K250" s="8" t="n"/>
      <c r="L250" s="8" t="n"/>
      <c r="M250" s="8" t="n"/>
      <c r="N250" s="8" t="n"/>
      <c r="O250" s="8" t="n"/>
      <c r="P250" s="8" t="n"/>
      <c r="Q250" s="8" t="n"/>
    </row>
    <row r="251">
      <c r="A251" s="9" t="n"/>
      <c r="B251" s="8" t="n"/>
      <c r="C251" s="8" t="n"/>
      <c r="D251" s="8" t="n"/>
      <c r="E251" s="8" t="n"/>
      <c r="F251" s="8" t="n"/>
      <c r="G251" s="8" t="n"/>
      <c r="H251" s="8" t="n"/>
      <c r="I251" s="12" t="n"/>
      <c r="J251" s="15">
        <f>IFERROR(I251/G251,"")</f>
        <v/>
      </c>
      <c r="K251" s="8" t="n"/>
      <c r="L251" s="8" t="n"/>
      <c r="M251" s="8" t="n"/>
      <c r="N251" s="8" t="n"/>
      <c r="O251" s="8" t="n"/>
      <c r="P251" s="8" t="n"/>
      <c r="Q251" s="8" t="n"/>
    </row>
    <row r="252">
      <c r="A252" s="9" t="n"/>
      <c r="B252" s="8" t="n"/>
      <c r="C252" s="8" t="n"/>
      <c r="D252" s="8" t="n"/>
      <c r="E252" s="8" t="n"/>
      <c r="F252" s="8" t="n"/>
      <c r="G252" s="8" t="n"/>
      <c r="H252" s="8" t="n"/>
      <c r="I252" s="12" t="n"/>
      <c r="J252" s="15">
        <f>IFERROR(I252/G252,"")</f>
        <v/>
      </c>
      <c r="K252" s="8" t="n"/>
      <c r="L252" s="8" t="n"/>
      <c r="M252" s="8" t="n"/>
      <c r="N252" s="8" t="n"/>
      <c r="O252" s="8" t="n"/>
      <c r="P252" s="8" t="n"/>
      <c r="Q252" s="8" t="n"/>
    </row>
    <row r="253">
      <c r="A253" s="9" t="n"/>
      <c r="B253" s="8" t="n"/>
      <c r="C253" s="8" t="n"/>
      <c r="D253" s="8" t="n"/>
      <c r="E253" s="8" t="n"/>
      <c r="F253" s="8" t="n"/>
      <c r="G253" s="8" t="n"/>
      <c r="H253" s="8" t="n"/>
      <c r="I253" s="12" t="n"/>
      <c r="J253" s="15">
        <f>IFERROR(I253/G253,"")</f>
        <v/>
      </c>
      <c r="K253" s="8" t="n"/>
      <c r="L253" s="8" t="n"/>
      <c r="M253" s="8" t="n"/>
      <c r="N253" s="8" t="n"/>
      <c r="O253" s="8" t="n"/>
      <c r="P253" s="8" t="n"/>
      <c r="Q253" s="8" t="n"/>
    </row>
    <row r="254">
      <c r="A254" s="9" t="n"/>
      <c r="B254" s="8" t="n"/>
      <c r="C254" s="8" t="n"/>
      <c r="D254" s="8" t="n"/>
      <c r="E254" s="8" t="n"/>
      <c r="F254" s="8" t="n"/>
      <c r="G254" s="8" t="n"/>
      <c r="H254" s="8" t="n"/>
      <c r="I254" s="12" t="n"/>
      <c r="J254" s="15">
        <f>IFERROR(I254/G254,"")</f>
        <v/>
      </c>
      <c r="K254" s="8" t="n"/>
      <c r="L254" s="8" t="n"/>
      <c r="M254" s="8" t="n"/>
      <c r="N254" s="8" t="n"/>
      <c r="O254" s="8" t="n"/>
      <c r="P254" s="8" t="n"/>
      <c r="Q254" s="8" t="n"/>
    </row>
    <row r="255">
      <c r="A255" s="9" t="n"/>
      <c r="B255" s="8" t="n"/>
      <c r="C255" s="8" t="n"/>
      <c r="D255" s="8" t="n"/>
      <c r="E255" s="8" t="n"/>
      <c r="F255" s="8" t="n"/>
      <c r="G255" s="8" t="n"/>
      <c r="H255" s="8" t="n"/>
      <c r="I255" s="12" t="n"/>
      <c r="J255" s="15">
        <f>IFERROR(I255/G255,"")</f>
        <v/>
      </c>
      <c r="K255" s="8" t="n"/>
      <c r="L255" s="8" t="n"/>
      <c r="M255" s="8" t="n"/>
      <c r="N255" s="8" t="n"/>
      <c r="O255" s="8" t="n"/>
      <c r="P255" s="8" t="n"/>
      <c r="Q255" s="8" t="n"/>
    </row>
    <row r="256">
      <c r="A256" s="9" t="n"/>
      <c r="B256" s="8" t="n"/>
      <c r="C256" s="8" t="n"/>
      <c r="D256" s="8" t="n"/>
      <c r="E256" s="8" t="n"/>
      <c r="F256" s="8" t="n"/>
      <c r="G256" s="8" t="n"/>
      <c r="H256" s="8" t="n"/>
      <c r="I256" s="12" t="n"/>
      <c r="J256" s="15">
        <f>IFERROR(I256/G256,"")</f>
        <v/>
      </c>
      <c r="K256" s="8" t="n"/>
      <c r="L256" s="8" t="n"/>
      <c r="M256" s="8" t="n"/>
      <c r="N256" s="8" t="n"/>
      <c r="O256" s="8" t="n"/>
      <c r="P256" s="8" t="n"/>
      <c r="Q256" s="8" t="n"/>
    </row>
    <row r="257">
      <c r="A257" s="9" t="n"/>
      <c r="B257" s="8" t="n"/>
      <c r="C257" s="8" t="n"/>
      <c r="D257" s="8" t="n"/>
      <c r="E257" s="8" t="n"/>
      <c r="F257" s="8" t="n"/>
      <c r="G257" s="8" t="n"/>
      <c r="H257" s="8" t="n"/>
      <c r="I257" s="12" t="n"/>
      <c r="J257" s="15">
        <f>IFERROR(I257/G257,"")</f>
        <v/>
      </c>
      <c r="K257" s="8" t="n"/>
      <c r="L257" s="8" t="n"/>
      <c r="M257" s="8" t="n"/>
      <c r="N257" s="8" t="n"/>
      <c r="O257" s="8" t="n"/>
      <c r="P257" s="8" t="n"/>
      <c r="Q257" s="8" t="n"/>
    </row>
    <row r="258">
      <c r="A258" s="9" t="n"/>
      <c r="B258" s="8" t="n"/>
      <c r="C258" s="8" t="n"/>
      <c r="D258" s="8" t="n"/>
      <c r="E258" s="8" t="n"/>
      <c r="F258" s="8" t="n"/>
      <c r="G258" s="8" t="n"/>
      <c r="H258" s="8" t="n"/>
      <c r="I258" s="12" t="n"/>
      <c r="J258" s="15">
        <f>IFERROR(I258/G258,"")</f>
        <v/>
      </c>
      <c r="K258" s="8" t="n"/>
      <c r="L258" s="8" t="n"/>
      <c r="M258" s="8" t="n"/>
      <c r="N258" s="8" t="n"/>
      <c r="O258" s="8" t="n"/>
      <c r="P258" s="8" t="n"/>
      <c r="Q258" s="8" t="n"/>
    </row>
    <row r="259">
      <c r="A259" s="9" t="n"/>
      <c r="B259" s="8" t="n"/>
      <c r="C259" s="8" t="n"/>
      <c r="D259" s="8" t="n"/>
      <c r="E259" s="8" t="n"/>
      <c r="F259" s="8" t="n"/>
      <c r="G259" s="8" t="n"/>
      <c r="H259" s="8" t="n"/>
      <c r="I259" s="12" t="n"/>
      <c r="J259" s="15">
        <f>IFERROR(I259/G259,"")</f>
        <v/>
      </c>
      <c r="K259" s="8" t="n"/>
      <c r="L259" s="8" t="n"/>
      <c r="M259" s="8" t="n"/>
      <c r="N259" s="8" t="n"/>
      <c r="O259" s="8" t="n"/>
      <c r="P259" s="8" t="n"/>
      <c r="Q259" s="8" t="n"/>
    </row>
    <row r="260">
      <c r="A260" s="9" t="n"/>
      <c r="B260" s="8" t="n"/>
      <c r="C260" s="8" t="n"/>
      <c r="D260" s="8" t="n"/>
      <c r="E260" s="8" t="n"/>
      <c r="F260" s="8" t="n"/>
      <c r="G260" s="8" t="n"/>
      <c r="H260" s="8" t="n"/>
      <c r="I260" s="12" t="n"/>
      <c r="J260" s="15">
        <f>IFERROR(I260/G260,"")</f>
        <v/>
      </c>
      <c r="K260" s="8" t="n"/>
      <c r="L260" s="8" t="n"/>
      <c r="M260" s="8" t="n"/>
      <c r="N260" s="8" t="n"/>
      <c r="O260" s="8" t="n"/>
      <c r="P260" s="8" t="n"/>
      <c r="Q260" s="8" t="n"/>
    </row>
    <row r="261">
      <c r="A261" s="9" t="n"/>
      <c r="B261" s="8" t="n"/>
      <c r="C261" s="8" t="n"/>
      <c r="D261" s="8" t="n"/>
      <c r="E261" s="8" t="n"/>
      <c r="F261" s="8" t="n"/>
      <c r="G261" s="8" t="n"/>
      <c r="H261" s="8" t="n"/>
      <c r="I261" s="12" t="n"/>
      <c r="J261" s="15">
        <f>IFERROR(I261/G261,"")</f>
        <v/>
      </c>
      <c r="K261" s="8" t="n"/>
      <c r="L261" s="8" t="n"/>
      <c r="M261" s="8" t="n"/>
      <c r="N261" s="8" t="n"/>
      <c r="O261" s="8" t="n"/>
      <c r="P261" s="8" t="n"/>
      <c r="Q261" s="8" t="n"/>
    </row>
    <row r="262">
      <c r="A262" s="9" t="n"/>
      <c r="B262" s="8" t="n"/>
      <c r="C262" s="8" t="n"/>
      <c r="D262" s="8" t="n"/>
      <c r="E262" s="8" t="n"/>
      <c r="F262" s="8" t="n"/>
      <c r="G262" s="8" t="n"/>
      <c r="H262" s="8" t="n"/>
      <c r="I262" s="12" t="n"/>
      <c r="J262" s="15">
        <f>IFERROR(I262/G262,"")</f>
        <v/>
      </c>
      <c r="K262" s="8" t="n"/>
      <c r="L262" s="8" t="n"/>
      <c r="M262" s="8" t="n"/>
      <c r="N262" s="8" t="n"/>
      <c r="O262" s="8" t="n"/>
      <c r="P262" s="8" t="n"/>
      <c r="Q262" s="8" t="n"/>
    </row>
    <row r="263">
      <c r="A263" s="9" t="n"/>
      <c r="B263" s="8" t="n"/>
      <c r="C263" s="8" t="n"/>
      <c r="D263" s="8" t="n"/>
      <c r="E263" s="8" t="n"/>
      <c r="F263" s="8" t="n"/>
      <c r="G263" s="8" t="n"/>
      <c r="H263" s="8" t="n"/>
      <c r="I263" s="12" t="n"/>
      <c r="J263" s="15">
        <f>IFERROR(I263/G263,"")</f>
        <v/>
      </c>
      <c r="K263" s="8" t="n"/>
      <c r="L263" s="8" t="n"/>
      <c r="M263" s="8" t="n"/>
      <c r="N263" s="8" t="n"/>
      <c r="O263" s="8" t="n"/>
      <c r="P263" s="8" t="n"/>
      <c r="Q263" s="8" t="n"/>
    </row>
    <row r="264">
      <c r="A264" s="9" t="n"/>
      <c r="B264" s="8" t="n"/>
      <c r="C264" s="8" t="n"/>
      <c r="D264" s="8" t="n"/>
      <c r="E264" s="8" t="n"/>
      <c r="F264" s="8" t="n"/>
      <c r="G264" s="8" t="n"/>
      <c r="H264" s="8" t="n"/>
      <c r="I264" s="12" t="n"/>
      <c r="J264" s="15">
        <f>IFERROR(I264/G264,"")</f>
        <v/>
      </c>
      <c r="K264" s="8" t="n"/>
      <c r="L264" s="8" t="n"/>
      <c r="M264" s="8" t="n"/>
      <c r="N264" s="8" t="n"/>
      <c r="O264" s="8" t="n"/>
      <c r="P264" s="8" t="n"/>
      <c r="Q264" s="8" t="n"/>
    </row>
    <row r="265">
      <c r="A265" s="9" t="n"/>
      <c r="B265" s="8" t="n"/>
      <c r="C265" s="8" t="n"/>
      <c r="D265" s="8" t="n"/>
      <c r="E265" s="8" t="n"/>
      <c r="F265" s="8" t="n"/>
      <c r="G265" s="8" t="n"/>
      <c r="H265" s="8" t="n"/>
      <c r="I265" s="12" t="n"/>
      <c r="J265" s="15">
        <f>IFERROR(I265/G265,"")</f>
        <v/>
      </c>
      <c r="K265" s="8" t="n"/>
      <c r="L265" s="8" t="n"/>
      <c r="M265" s="8" t="n"/>
      <c r="N265" s="8" t="n"/>
      <c r="O265" s="8" t="n"/>
      <c r="P265" s="8" t="n"/>
      <c r="Q265" s="8" t="n"/>
    </row>
    <row r="266">
      <c r="A266" s="9" t="n"/>
      <c r="B266" s="8" t="n"/>
      <c r="C266" s="8" t="n"/>
      <c r="D266" s="8" t="n"/>
      <c r="E266" s="8" t="n"/>
      <c r="F266" s="8" t="n"/>
      <c r="G266" s="8" t="n"/>
      <c r="H266" s="8" t="n"/>
      <c r="I266" s="12" t="n"/>
      <c r="J266" s="15">
        <f>IFERROR(I266/G266,"")</f>
        <v/>
      </c>
      <c r="K266" s="8" t="n"/>
      <c r="L266" s="8" t="n"/>
      <c r="M266" s="8" t="n"/>
      <c r="N266" s="8" t="n"/>
      <c r="O266" s="8" t="n"/>
      <c r="P266" s="8" t="n"/>
      <c r="Q266" s="8" t="n"/>
    </row>
    <row r="267">
      <c r="A267" s="9" t="n"/>
      <c r="B267" s="8" t="n"/>
      <c r="C267" s="8" t="n"/>
      <c r="D267" s="8" t="n"/>
      <c r="E267" s="8" t="n"/>
      <c r="F267" s="8" t="n"/>
      <c r="G267" s="8" t="n"/>
      <c r="H267" s="8" t="n"/>
      <c r="I267" s="12" t="n"/>
      <c r="J267" s="15">
        <f>IFERROR(I267/G267,"")</f>
        <v/>
      </c>
      <c r="K267" s="8" t="n"/>
      <c r="L267" s="8" t="n"/>
      <c r="M267" s="8" t="n"/>
      <c r="N267" s="8" t="n"/>
      <c r="O267" s="8" t="n"/>
      <c r="P267" s="8" t="n"/>
      <c r="Q267" s="8" t="n"/>
    </row>
    <row r="268">
      <c r="A268" s="9" t="n"/>
      <c r="B268" s="8" t="n"/>
      <c r="C268" s="8" t="n"/>
      <c r="D268" s="8" t="n"/>
      <c r="E268" s="8" t="n"/>
      <c r="F268" s="8" t="n"/>
      <c r="G268" s="8" t="n"/>
      <c r="H268" s="8" t="n"/>
      <c r="I268" s="12" t="n"/>
      <c r="J268" s="15">
        <f>IFERROR(I268/G268,"")</f>
        <v/>
      </c>
      <c r="K268" s="8" t="n"/>
      <c r="L268" s="8" t="n"/>
      <c r="M268" s="8" t="n"/>
      <c r="N268" s="8" t="n"/>
      <c r="O268" s="8" t="n"/>
      <c r="P268" s="8" t="n"/>
      <c r="Q268" s="8" t="n"/>
    </row>
    <row r="269">
      <c r="A269" s="9" t="n"/>
      <c r="B269" s="8" t="n"/>
      <c r="C269" s="8" t="n"/>
      <c r="D269" s="8" t="n"/>
      <c r="E269" s="8" t="n"/>
      <c r="F269" s="8" t="n"/>
      <c r="G269" s="8" t="n"/>
      <c r="H269" s="8" t="n"/>
      <c r="I269" s="12" t="n"/>
      <c r="J269" s="15">
        <f>IFERROR(I269/G269,"")</f>
        <v/>
      </c>
      <c r="K269" s="8" t="n"/>
      <c r="L269" s="8" t="n"/>
      <c r="M269" s="8" t="n"/>
      <c r="N269" s="8" t="n"/>
      <c r="O269" s="8" t="n"/>
      <c r="P269" s="8" t="n"/>
      <c r="Q269" s="8" t="n"/>
    </row>
    <row r="270">
      <c r="A270" s="9" t="n"/>
      <c r="B270" s="8" t="n"/>
      <c r="C270" s="8" t="n"/>
      <c r="D270" s="8" t="n"/>
      <c r="E270" s="8" t="n"/>
      <c r="F270" s="8" t="n"/>
      <c r="G270" s="8" t="n"/>
      <c r="H270" s="8" t="n"/>
      <c r="I270" s="12" t="n"/>
      <c r="J270" s="15">
        <f>IFERROR(I270/G270,"")</f>
        <v/>
      </c>
      <c r="K270" s="8" t="n"/>
      <c r="L270" s="8" t="n"/>
      <c r="M270" s="8" t="n"/>
      <c r="N270" s="8" t="n"/>
      <c r="O270" s="8" t="n"/>
      <c r="P270" s="8" t="n"/>
      <c r="Q270" s="8" t="n"/>
    </row>
    <row r="271">
      <c r="A271" s="9" t="n"/>
      <c r="B271" s="8" t="n"/>
      <c r="C271" s="8" t="n"/>
      <c r="D271" s="8" t="n"/>
      <c r="E271" s="8" t="n"/>
      <c r="F271" s="8" t="n"/>
      <c r="G271" s="8" t="n"/>
      <c r="H271" s="8" t="n"/>
      <c r="I271" s="12" t="n"/>
      <c r="J271" s="15">
        <f>IFERROR(I271/G271,"")</f>
        <v/>
      </c>
      <c r="K271" s="8" t="n"/>
      <c r="L271" s="8" t="n"/>
      <c r="M271" s="8" t="n"/>
      <c r="N271" s="8" t="n"/>
      <c r="O271" s="8" t="n"/>
      <c r="P271" s="8" t="n"/>
      <c r="Q271" s="8" t="n"/>
    </row>
    <row r="272">
      <c r="A272" s="9" t="n"/>
      <c r="B272" s="8" t="n"/>
      <c r="C272" s="8" t="n"/>
      <c r="D272" s="8" t="n"/>
      <c r="E272" s="8" t="n"/>
      <c r="F272" s="8" t="n"/>
      <c r="G272" s="8" t="n"/>
      <c r="H272" s="8" t="n"/>
      <c r="I272" s="12" t="n"/>
      <c r="J272" s="15">
        <f>IFERROR(I272/G272,"")</f>
        <v/>
      </c>
      <c r="K272" s="8" t="n"/>
      <c r="L272" s="8" t="n"/>
      <c r="M272" s="8" t="n"/>
      <c r="N272" s="8" t="n"/>
      <c r="O272" s="8" t="n"/>
      <c r="P272" s="8" t="n"/>
      <c r="Q272" s="8" t="n"/>
    </row>
    <row r="273">
      <c r="A273" s="9" t="n"/>
      <c r="B273" s="8" t="n"/>
      <c r="C273" s="8" t="n"/>
      <c r="D273" s="8" t="n"/>
      <c r="E273" s="8" t="n"/>
      <c r="F273" s="8" t="n"/>
      <c r="G273" s="8" t="n"/>
      <c r="H273" s="8" t="n"/>
      <c r="I273" s="12" t="n"/>
      <c r="J273" s="15">
        <f>IFERROR(I273/G273,"")</f>
        <v/>
      </c>
      <c r="K273" s="8" t="n"/>
      <c r="L273" s="8" t="n"/>
      <c r="M273" s="8" t="n"/>
      <c r="N273" s="8" t="n"/>
      <c r="O273" s="8" t="n"/>
      <c r="P273" s="8" t="n"/>
      <c r="Q273" s="8" t="n"/>
    </row>
    <row r="274">
      <c r="A274" s="9" t="n"/>
      <c r="B274" s="8" t="n"/>
      <c r="C274" s="8" t="n"/>
      <c r="D274" s="8" t="n"/>
      <c r="E274" s="8" t="n"/>
      <c r="F274" s="8" t="n"/>
      <c r="G274" s="8" t="n"/>
      <c r="H274" s="8" t="n"/>
      <c r="I274" s="12" t="n"/>
      <c r="J274" s="15">
        <f>IFERROR(I274/G274,"")</f>
        <v/>
      </c>
      <c r="K274" s="8" t="n"/>
      <c r="L274" s="8" t="n"/>
      <c r="M274" s="8" t="n"/>
      <c r="N274" s="8" t="n"/>
      <c r="O274" s="8" t="n"/>
      <c r="P274" s="8" t="n"/>
      <c r="Q274" s="8" t="n"/>
    </row>
    <row r="275">
      <c r="A275" s="9" t="n"/>
      <c r="B275" s="8" t="n"/>
      <c r="C275" s="8" t="n"/>
      <c r="D275" s="8" t="n"/>
      <c r="E275" s="8" t="n"/>
      <c r="F275" s="8" t="n"/>
      <c r="G275" s="8" t="n"/>
      <c r="H275" s="8" t="n"/>
      <c r="I275" s="12" t="n"/>
      <c r="J275" s="15">
        <f>IFERROR(I275/G275,"")</f>
        <v/>
      </c>
      <c r="K275" s="8" t="n"/>
      <c r="L275" s="8" t="n"/>
      <c r="M275" s="8" t="n"/>
      <c r="N275" s="8" t="n"/>
      <c r="O275" s="8" t="n"/>
      <c r="P275" s="8" t="n"/>
      <c r="Q275" s="8" t="n"/>
    </row>
    <row r="276">
      <c r="A276" s="9" t="n"/>
      <c r="B276" s="8" t="n"/>
      <c r="C276" s="8" t="n"/>
      <c r="D276" s="8" t="n"/>
      <c r="E276" s="8" t="n"/>
      <c r="F276" s="8" t="n"/>
      <c r="G276" s="8" t="n"/>
      <c r="H276" s="8" t="n"/>
      <c r="I276" s="12" t="n"/>
      <c r="J276" s="15">
        <f>IFERROR(I276/G276,"")</f>
        <v/>
      </c>
      <c r="K276" s="8" t="n"/>
      <c r="L276" s="8" t="n"/>
      <c r="M276" s="8" t="n"/>
      <c r="N276" s="8" t="n"/>
      <c r="O276" s="8" t="n"/>
      <c r="P276" s="8" t="n"/>
      <c r="Q276" s="8" t="n"/>
    </row>
    <row r="277">
      <c r="A277" s="9" t="n"/>
      <c r="B277" s="8" t="n"/>
      <c r="C277" s="8" t="n"/>
      <c r="D277" s="8" t="n"/>
      <c r="E277" s="8" t="n"/>
      <c r="F277" s="8" t="n"/>
      <c r="G277" s="8" t="n"/>
      <c r="H277" s="8" t="n"/>
      <c r="I277" s="12" t="n"/>
      <c r="J277" s="15">
        <f>IFERROR(I277/G277,"")</f>
        <v/>
      </c>
      <c r="K277" s="8" t="n"/>
      <c r="L277" s="8" t="n"/>
      <c r="M277" s="8" t="n"/>
      <c r="N277" s="8" t="n"/>
      <c r="O277" s="8" t="n"/>
      <c r="P277" s="8" t="n"/>
      <c r="Q277" s="8" t="n"/>
    </row>
    <row r="278">
      <c r="A278" s="9" t="n"/>
      <c r="B278" s="8" t="n"/>
      <c r="C278" s="8" t="n"/>
      <c r="D278" s="8" t="n"/>
      <c r="E278" s="8" t="n"/>
      <c r="F278" s="8" t="n"/>
      <c r="G278" s="8" t="n"/>
      <c r="H278" s="8" t="n"/>
      <c r="I278" s="12" t="n"/>
      <c r="J278" s="15">
        <f>IFERROR(I278/G278,"")</f>
        <v/>
      </c>
      <c r="K278" s="8" t="n"/>
      <c r="L278" s="8" t="n"/>
      <c r="M278" s="8" t="n"/>
      <c r="N278" s="8" t="n"/>
      <c r="O278" s="8" t="n"/>
      <c r="P278" s="8" t="n"/>
      <c r="Q278" s="8" t="n"/>
    </row>
    <row r="279">
      <c r="A279" s="9" t="n"/>
      <c r="B279" s="8" t="n"/>
      <c r="C279" s="8" t="n"/>
      <c r="D279" s="8" t="n"/>
      <c r="E279" s="8" t="n"/>
      <c r="F279" s="8" t="n"/>
      <c r="G279" s="8" t="n"/>
      <c r="H279" s="8" t="n"/>
      <c r="I279" s="12" t="n"/>
      <c r="J279" s="15">
        <f>IFERROR(I279/G279,"")</f>
        <v/>
      </c>
      <c r="K279" s="8" t="n"/>
      <c r="L279" s="8" t="n"/>
      <c r="M279" s="8" t="n"/>
      <c r="N279" s="8" t="n"/>
      <c r="O279" s="8" t="n"/>
      <c r="P279" s="8" t="n"/>
      <c r="Q279" s="8" t="n"/>
    </row>
    <row r="280">
      <c r="A280" s="9" t="n"/>
      <c r="B280" s="8" t="n"/>
      <c r="C280" s="8" t="n"/>
      <c r="D280" s="8" t="n"/>
      <c r="E280" s="8" t="n"/>
      <c r="F280" s="8" t="n"/>
      <c r="G280" s="8" t="n"/>
      <c r="H280" s="8" t="n"/>
      <c r="I280" s="12" t="n"/>
      <c r="J280" s="15">
        <f>IFERROR(I280/G280,"")</f>
        <v/>
      </c>
      <c r="K280" s="8" t="n"/>
      <c r="L280" s="8" t="n"/>
      <c r="M280" s="8" t="n"/>
      <c r="N280" s="8" t="n"/>
      <c r="O280" s="8" t="n"/>
      <c r="P280" s="8" t="n"/>
      <c r="Q280" s="8" t="n"/>
    </row>
    <row r="281">
      <c r="A281" s="9" t="n"/>
      <c r="B281" s="8" t="n"/>
      <c r="C281" s="8" t="n"/>
      <c r="D281" s="8" t="n"/>
      <c r="E281" s="8" t="n"/>
      <c r="F281" s="8" t="n"/>
      <c r="G281" s="8" t="n"/>
      <c r="H281" s="8" t="n"/>
      <c r="I281" s="12" t="n"/>
      <c r="J281" s="15">
        <f>IFERROR(I281/G281,"")</f>
        <v/>
      </c>
      <c r="K281" s="8" t="n"/>
      <c r="L281" s="8" t="n"/>
      <c r="M281" s="8" t="n"/>
      <c r="N281" s="8" t="n"/>
      <c r="O281" s="8" t="n"/>
      <c r="P281" s="8" t="n"/>
      <c r="Q281" s="8" t="n"/>
    </row>
    <row r="282">
      <c r="A282" s="9" t="n"/>
      <c r="B282" s="8" t="n"/>
      <c r="C282" s="8" t="n"/>
      <c r="D282" s="8" t="n"/>
      <c r="E282" s="8" t="n"/>
      <c r="F282" s="8" t="n"/>
      <c r="G282" s="8" t="n"/>
      <c r="H282" s="8" t="n"/>
      <c r="I282" s="12" t="n"/>
      <c r="J282" s="15">
        <f>IFERROR(I282/G282,"")</f>
        <v/>
      </c>
      <c r="K282" s="8" t="n"/>
      <c r="L282" s="8" t="n"/>
      <c r="M282" s="8" t="n"/>
      <c r="N282" s="8" t="n"/>
      <c r="O282" s="8" t="n"/>
      <c r="P282" s="8" t="n"/>
      <c r="Q282" s="8" t="n"/>
    </row>
    <row r="283">
      <c r="A283" s="9" t="n"/>
      <c r="B283" s="8" t="n"/>
      <c r="C283" s="8" t="n"/>
      <c r="D283" s="8" t="n"/>
      <c r="E283" s="8" t="n"/>
      <c r="F283" s="8" t="n"/>
      <c r="G283" s="8" t="n"/>
      <c r="H283" s="8" t="n"/>
      <c r="I283" s="12" t="n"/>
      <c r="J283" s="15">
        <f>IFERROR(I283/G283,"")</f>
        <v/>
      </c>
      <c r="K283" s="8" t="n"/>
      <c r="L283" s="8" t="n"/>
      <c r="M283" s="8" t="n"/>
      <c r="N283" s="8" t="n"/>
      <c r="O283" s="8" t="n"/>
      <c r="P283" s="8" t="n"/>
      <c r="Q283" s="8" t="n"/>
    </row>
    <row r="284">
      <c r="A284" s="9" t="n"/>
      <c r="B284" s="8" t="n"/>
      <c r="C284" s="8" t="n"/>
      <c r="D284" s="8" t="n"/>
      <c r="E284" s="8" t="n"/>
      <c r="F284" s="8" t="n"/>
      <c r="G284" s="8" t="n"/>
      <c r="H284" s="8" t="n"/>
      <c r="I284" s="12" t="n"/>
      <c r="J284" s="15">
        <f>IFERROR(I284/G284,"")</f>
        <v/>
      </c>
      <c r="K284" s="8" t="n"/>
      <c r="L284" s="8" t="n"/>
      <c r="M284" s="8" t="n"/>
      <c r="N284" s="8" t="n"/>
      <c r="O284" s="8" t="n"/>
      <c r="P284" s="8" t="n"/>
      <c r="Q284" s="8" t="n"/>
    </row>
    <row r="285">
      <c r="A285" s="9" t="n"/>
      <c r="B285" s="8" t="n"/>
      <c r="C285" s="8" t="n"/>
      <c r="D285" s="8" t="n"/>
      <c r="E285" s="8" t="n"/>
      <c r="F285" s="8" t="n"/>
      <c r="G285" s="8" t="n"/>
      <c r="H285" s="8" t="n"/>
      <c r="I285" s="12" t="n"/>
      <c r="J285" s="15">
        <f>IFERROR(I285/G285,"")</f>
        <v/>
      </c>
      <c r="K285" s="8" t="n"/>
      <c r="L285" s="8" t="n"/>
      <c r="M285" s="8" t="n"/>
      <c r="N285" s="8" t="n"/>
      <c r="O285" s="8" t="n"/>
      <c r="P285" s="8" t="n"/>
      <c r="Q285" s="8" t="n"/>
    </row>
    <row r="286">
      <c r="A286" s="9" t="n"/>
      <c r="B286" s="8" t="n"/>
      <c r="C286" s="8" t="n"/>
      <c r="D286" s="8" t="n"/>
      <c r="E286" s="8" t="n"/>
      <c r="F286" s="8" t="n"/>
      <c r="G286" s="8" t="n"/>
      <c r="H286" s="8" t="n"/>
      <c r="I286" s="12" t="n"/>
      <c r="J286" s="15">
        <f>IFERROR(I286/G286,"")</f>
        <v/>
      </c>
      <c r="K286" s="8" t="n"/>
      <c r="L286" s="8" t="n"/>
      <c r="M286" s="8" t="n"/>
      <c r="N286" s="8" t="n"/>
      <c r="O286" s="8" t="n"/>
      <c r="P286" s="8" t="n"/>
      <c r="Q286" s="8" t="n"/>
    </row>
    <row r="287">
      <c r="A287" s="9" t="n"/>
      <c r="B287" s="8" t="n"/>
      <c r="C287" s="8" t="n"/>
      <c r="D287" s="8" t="n"/>
      <c r="E287" s="8" t="n"/>
      <c r="F287" s="8" t="n"/>
      <c r="G287" s="8" t="n"/>
      <c r="H287" s="8" t="n"/>
      <c r="I287" s="12" t="n"/>
      <c r="J287" s="15">
        <f>IFERROR(I287/G287,"")</f>
        <v/>
      </c>
      <c r="K287" s="8" t="n"/>
      <c r="L287" s="8" t="n"/>
      <c r="M287" s="8" t="n"/>
      <c r="N287" s="8" t="n"/>
      <c r="O287" s="8" t="n"/>
      <c r="P287" s="8" t="n"/>
      <c r="Q287" s="8" t="n"/>
    </row>
    <row r="288">
      <c r="A288" s="9" t="n"/>
      <c r="B288" s="8" t="n"/>
      <c r="C288" s="8" t="n"/>
      <c r="D288" s="8" t="n"/>
      <c r="E288" s="8" t="n"/>
      <c r="F288" s="8" t="n"/>
      <c r="G288" s="8" t="n"/>
      <c r="H288" s="8" t="n"/>
      <c r="I288" s="12" t="n"/>
      <c r="J288" s="15">
        <f>IFERROR(I288/G288,"")</f>
        <v/>
      </c>
      <c r="K288" s="8" t="n"/>
      <c r="L288" s="8" t="n"/>
      <c r="M288" s="8" t="n"/>
      <c r="N288" s="8" t="n"/>
      <c r="O288" s="8" t="n"/>
      <c r="P288" s="8" t="n"/>
      <c r="Q288" s="8" t="n"/>
    </row>
    <row r="289">
      <c r="A289" s="9" t="n"/>
      <c r="B289" s="8" t="n"/>
      <c r="C289" s="8" t="n"/>
      <c r="D289" s="8" t="n"/>
      <c r="E289" s="8" t="n"/>
      <c r="F289" s="8" t="n"/>
      <c r="G289" s="8" t="n"/>
      <c r="H289" s="8" t="n"/>
      <c r="I289" s="12" t="n"/>
      <c r="J289" s="15">
        <f>IFERROR(I289/G289,"")</f>
        <v/>
      </c>
      <c r="K289" s="8" t="n"/>
      <c r="L289" s="8" t="n"/>
      <c r="M289" s="8" t="n"/>
      <c r="N289" s="8" t="n"/>
      <c r="O289" s="8" t="n"/>
      <c r="P289" s="8" t="n"/>
      <c r="Q289" s="8" t="n"/>
    </row>
    <row r="290">
      <c r="A290" s="9" t="n"/>
      <c r="B290" s="8" t="n"/>
      <c r="C290" s="8" t="n"/>
      <c r="D290" s="8" t="n"/>
      <c r="E290" s="8" t="n"/>
      <c r="F290" s="8" t="n"/>
      <c r="G290" s="8" t="n"/>
      <c r="H290" s="8" t="n"/>
      <c r="I290" s="12" t="n"/>
      <c r="J290" s="15">
        <f>IFERROR(I290/G290,"")</f>
        <v/>
      </c>
      <c r="K290" s="8" t="n"/>
      <c r="L290" s="8" t="n"/>
      <c r="M290" s="8" t="n"/>
      <c r="N290" s="8" t="n"/>
      <c r="O290" s="8" t="n"/>
      <c r="P290" s="8" t="n"/>
      <c r="Q290" s="8" t="n"/>
    </row>
    <row r="291">
      <c r="A291" s="9" t="n"/>
      <c r="B291" s="8" t="n"/>
      <c r="C291" s="8" t="n"/>
      <c r="D291" s="8" t="n"/>
      <c r="E291" s="8" t="n"/>
      <c r="F291" s="8" t="n"/>
      <c r="G291" s="8" t="n"/>
      <c r="H291" s="8" t="n"/>
      <c r="I291" s="12" t="n"/>
      <c r="J291" s="15">
        <f>IFERROR(I291/G291,"")</f>
        <v/>
      </c>
      <c r="K291" s="8" t="n"/>
      <c r="L291" s="8" t="n"/>
      <c r="M291" s="8" t="n"/>
      <c r="N291" s="8" t="n"/>
      <c r="O291" s="8" t="n"/>
      <c r="P291" s="8" t="n"/>
      <c r="Q291" s="8" t="n"/>
    </row>
    <row r="292">
      <c r="A292" s="9" t="n"/>
      <c r="B292" s="8" t="n"/>
      <c r="C292" s="8" t="n"/>
      <c r="D292" s="8" t="n"/>
      <c r="E292" s="8" t="n"/>
      <c r="F292" s="8" t="n"/>
      <c r="G292" s="8" t="n"/>
      <c r="H292" s="8" t="n"/>
      <c r="I292" s="12" t="n"/>
      <c r="J292" s="15">
        <f>IFERROR(I292/G292,"")</f>
        <v/>
      </c>
      <c r="K292" s="8" t="n"/>
      <c r="L292" s="8" t="n"/>
      <c r="M292" s="8" t="n"/>
      <c r="N292" s="8" t="n"/>
      <c r="O292" s="8" t="n"/>
      <c r="P292" s="8" t="n"/>
      <c r="Q292" s="8" t="n"/>
    </row>
    <row r="293">
      <c r="A293" s="9" t="n"/>
      <c r="B293" s="8" t="n"/>
      <c r="C293" s="8" t="n"/>
      <c r="D293" s="8" t="n"/>
      <c r="E293" s="8" t="n"/>
      <c r="F293" s="8" t="n"/>
      <c r="G293" s="8" t="n"/>
      <c r="H293" s="8" t="n"/>
      <c r="I293" s="12" t="n"/>
      <c r="J293" s="15">
        <f>IFERROR(I293/G293,"")</f>
        <v/>
      </c>
      <c r="K293" s="8" t="n"/>
      <c r="L293" s="8" t="n"/>
      <c r="M293" s="8" t="n"/>
      <c r="N293" s="8" t="n"/>
      <c r="O293" s="8" t="n"/>
      <c r="P293" s="8" t="n"/>
      <c r="Q293" s="8" t="n"/>
    </row>
    <row r="294">
      <c r="A294" s="9" t="n"/>
      <c r="B294" s="8" t="n"/>
      <c r="C294" s="8" t="n"/>
      <c r="D294" s="8" t="n"/>
      <c r="E294" s="8" t="n"/>
      <c r="F294" s="8" t="n"/>
      <c r="G294" s="8" t="n"/>
      <c r="H294" s="8" t="n"/>
      <c r="I294" s="12" t="n"/>
      <c r="J294" s="15">
        <f>IFERROR(I294/G294,"")</f>
        <v/>
      </c>
      <c r="K294" s="8" t="n"/>
      <c r="L294" s="8" t="n"/>
      <c r="M294" s="8" t="n"/>
      <c r="N294" s="8" t="n"/>
      <c r="O294" s="8" t="n"/>
      <c r="P294" s="8" t="n"/>
      <c r="Q294" s="8" t="n"/>
    </row>
    <row r="295">
      <c r="A295" s="9" t="n"/>
      <c r="B295" s="8" t="n"/>
      <c r="C295" s="8" t="n"/>
      <c r="D295" s="8" t="n"/>
      <c r="E295" s="8" t="n"/>
      <c r="F295" s="8" t="n"/>
      <c r="G295" s="8" t="n"/>
      <c r="H295" s="8" t="n"/>
      <c r="I295" s="12" t="n"/>
      <c r="J295" s="15">
        <f>IFERROR(I295/G295,"")</f>
        <v/>
      </c>
      <c r="K295" s="8" t="n"/>
      <c r="L295" s="8" t="n"/>
      <c r="M295" s="8" t="n"/>
      <c r="N295" s="8" t="n"/>
      <c r="O295" s="8" t="n"/>
      <c r="P295" s="8" t="n"/>
      <c r="Q295" s="8" t="n"/>
    </row>
    <row r="296">
      <c r="A296" s="9" t="n"/>
      <c r="B296" s="8" t="n"/>
      <c r="C296" s="8" t="n"/>
      <c r="D296" s="8" t="n"/>
      <c r="E296" s="8" t="n"/>
      <c r="F296" s="8" t="n"/>
      <c r="G296" s="8" t="n"/>
      <c r="H296" s="8" t="n"/>
      <c r="I296" s="12" t="n"/>
      <c r="J296" s="15">
        <f>IFERROR(I296/G296,"")</f>
        <v/>
      </c>
      <c r="K296" s="8" t="n"/>
      <c r="L296" s="8" t="n"/>
      <c r="M296" s="8" t="n"/>
      <c r="N296" s="8" t="n"/>
      <c r="O296" s="8" t="n"/>
      <c r="P296" s="8" t="n"/>
      <c r="Q296" s="8" t="n"/>
    </row>
    <row r="297">
      <c r="A297" s="9" t="n"/>
      <c r="B297" s="8" t="n"/>
      <c r="C297" s="8" t="n"/>
      <c r="D297" s="8" t="n"/>
      <c r="E297" s="8" t="n"/>
      <c r="F297" s="8" t="n"/>
      <c r="G297" s="8" t="n"/>
      <c r="H297" s="8" t="n"/>
      <c r="I297" s="12" t="n"/>
      <c r="J297" s="15">
        <f>IFERROR(I297/G297,"")</f>
        <v/>
      </c>
      <c r="K297" s="8" t="n"/>
      <c r="L297" s="8" t="n"/>
      <c r="M297" s="8" t="n"/>
      <c r="N297" s="8" t="n"/>
      <c r="O297" s="8" t="n"/>
      <c r="P297" s="8" t="n"/>
      <c r="Q297" s="8" t="n"/>
    </row>
    <row r="298">
      <c r="A298" s="9" t="n"/>
      <c r="B298" s="8" t="n"/>
      <c r="C298" s="8" t="n"/>
      <c r="D298" s="8" t="n"/>
      <c r="E298" s="8" t="n"/>
      <c r="F298" s="8" t="n"/>
      <c r="G298" s="8" t="n"/>
      <c r="H298" s="8" t="n"/>
      <c r="I298" s="12" t="n"/>
      <c r="J298" s="15">
        <f>IFERROR(I298/G298,"")</f>
        <v/>
      </c>
      <c r="K298" s="8" t="n"/>
      <c r="L298" s="8" t="n"/>
      <c r="M298" s="8" t="n"/>
      <c r="N298" s="8" t="n"/>
      <c r="O298" s="8" t="n"/>
      <c r="P298" s="8" t="n"/>
      <c r="Q298" s="8" t="n"/>
    </row>
    <row r="299">
      <c r="A299" s="9" t="n"/>
      <c r="B299" s="8" t="n"/>
      <c r="C299" s="8" t="n"/>
      <c r="D299" s="8" t="n"/>
      <c r="E299" s="8" t="n"/>
      <c r="F299" s="8" t="n"/>
      <c r="G299" s="8" t="n"/>
      <c r="H299" s="8" t="n"/>
      <c r="I299" s="12" t="n"/>
      <c r="J299" s="15">
        <f>IFERROR(I299/G299,"")</f>
        <v/>
      </c>
      <c r="K299" s="8" t="n"/>
      <c r="L299" s="8" t="n"/>
      <c r="M299" s="8" t="n"/>
      <c r="N299" s="8" t="n"/>
      <c r="O299" s="8" t="n"/>
      <c r="P299" s="8" t="n"/>
      <c r="Q299" s="8" t="n"/>
    </row>
    <row r="300">
      <c r="A300" s="9" t="n"/>
      <c r="B300" s="8" t="n"/>
      <c r="C300" s="8" t="n"/>
      <c r="D300" s="8" t="n"/>
      <c r="E300" s="8" t="n"/>
      <c r="F300" s="8" t="n"/>
      <c r="G300" s="8" t="n"/>
      <c r="H300" s="8" t="n"/>
      <c r="I300" s="12" t="n"/>
      <c r="J300" s="15">
        <f>IFERROR(I300/G300,"")</f>
        <v/>
      </c>
      <c r="K300" s="8" t="n"/>
      <c r="L300" s="8" t="n"/>
      <c r="M300" s="8" t="n"/>
      <c r="N300" s="8" t="n"/>
      <c r="O300" s="8" t="n"/>
      <c r="P300" s="8" t="n"/>
      <c r="Q300" s="8" t="n"/>
    </row>
  </sheetData>
  <conditionalFormatting sqref="K4:K300">
    <cfRule type="cellIs" priority="1" operator="equal" dxfId="4">
      <formula>"No"</formula>
    </cfRule>
  </conditionalFormatting>
  <conditionalFormatting sqref="J4:J300">
    <cfRule type="cellIs" priority="2" operator="lessThan" dxfId="3">
      <formula>2</formula>
    </cfRule>
  </conditionalFormatting>
  <dataValidations count="6">
    <dataValidation sqref="K4:K300" showDropDown="0" showInputMessage="0" showErrorMessage="0" allowBlank="1" type="list">
      <formula1>"Yes,No"</formula1>
    </dataValidation>
    <dataValidation sqref="L4:L300" showDropDown="0" showInputMessage="0" showErrorMessage="0" allowBlank="1" type="list">
      <formula1>"Text,Call,Email"</formula1>
    </dataValidation>
    <dataValidation sqref="M4:M300" showDropDown="0" showInputMessage="0" showErrorMessage="0" allowBlank="1" type="list">
      <formula1>"Yes,No,N/A"</formula1>
    </dataValidation>
    <dataValidation sqref="N4:N300" showDropDown="0" showInputMessage="0" showErrorMessage="0" allowBlank="1" type="list">
      <formula1>"Yes,No,N/A"</formula1>
    </dataValidation>
    <dataValidation sqref="O4:O300" showDropDown="0" showInputMessage="0" showErrorMessage="0" allowBlank="1" type="list">
      <formula1>"Yes,No,N/A"</formula1>
    </dataValidation>
    <dataValidation sqref="P4:P30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2" customWidth="1" min="4" max="4"/>
    <col width="13" customWidth="1" min="5" max="5"/>
    <col width="20" customWidth="1" min="6" max="6"/>
    <col width="14" customWidth="1" min="7" max="7"/>
    <col width="12" customWidth="1" min="8" max="8"/>
    <col width="13" customWidth="1" min="9" max="9"/>
    <col width="15" customWidth="1" min="10" max="10"/>
    <col width="26" customWidth="1" min="11" max="11"/>
  </cols>
  <sheetData>
    <row r="1">
      <c r="A1" s="1" t="inlineStr">
        <is>
          <t>STEADHAUL DISPATCH — CLAIMS</t>
        </is>
      </c>
    </row>
    <row r="2">
      <c r="A2" s="2" t="inlineStr">
        <is>
          <t>Detention, layover and TONU. This is money most new carriers write off — chasing it is a paid-tier promise, so it needs a record.</t>
        </is>
      </c>
    </row>
    <row r="3" ht="30" customHeight="1">
      <c r="A3" s="3" t="inlineStr">
        <is>
          <t>Date</t>
        </is>
      </c>
      <c r="B3" s="3" t="inlineStr">
        <is>
          <t>Carrier</t>
        </is>
      </c>
      <c r="C3" s="3" t="inlineStr">
        <is>
          <t>Broker</t>
        </is>
      </c>
      <c r="D3" s="3" t="inlineStr">
        <is>
          <t>Load date</t>
        </is>
      </c>
      <c r="E3" s="3" t="inlineStr">
        <is>
          <t>Type</t>
        </is>
      </c>
      <c r="F3" s="3" t="inlineStr">
        <is>
          <t>Hours / detail</t>
        </is>
      </c>
      <c r="G3" s="3" t="inlineStr">
        <is>
          <t>Amount claimed</t>
        </is>
      </c>
      <c r="H3" s="3" t="inlineStr">
        <is>
          <t>Submitted</t>
        </is>
      </c>
      <c r="I3" s="3" t="inlineStr">
        <is>
          <t>Status</t>
        </is>
      </c>
      <c r="J3" s="3" t="inlineStr">
        <is>
          <t>Amount recovered</t>
        </is>
      </c>
      <c r="K3" s="3" t="inlineStr">
        <is>
          <t>Notes</t>
        </is>
      </c>
    </row>
    <row r="4">
      <c r="A4" s="5" t="n">
        <v>46288</v>
      </c>
      <c r="B4" s="4" t="inlineStr">
        <is>
          <t>Example Trucking LLC</t>
        </is>
      </c>
      <c r="C4" s="4" t="inlineStr">
        <is>
          <t>Example Broker Inc</t>
        </is>
      </c>
      <c r="D4" s="5" t="n">
        <v>46287</v>
      </c>
      <c r="E4" s="4" t="inlineStr">
        <is>
          <t>Detention</t>
        </is>
      </c>
      <c r="F4" s="4" t="inlineStr">
        <is>
          <t>4 hrs at receiver</t>
        </is>
      </c>
      <c r="G4" s="11" t="n">
        <v>200</v>
      </c>
      <c r="H4" s="5" t="n">
        <v>46288</v>
      </c>
      <c r="I4" s="4" t="inlineStr">
        <is>
          <t>Submitted</t>
        </is>
      </c>
      <c r="J4" s="11" t="n"/>
      <c r="K4" s="4" t="inlineStr">
        <is>
          <t>Delete this row</t>
        </is>
      </c>
    </row>
    <row r="5">
      <c r="A5" s="9" t="n"/>
      <c r="B5" s="8" t="n"/>
      <c r="C5" s="8" t="n"/>
      <c r="D5" s="9" t="n"/>
      <c r="E5" s="8" t="n"/>
      <c r="F5" s="8" t="n"/>
      <c r="G5" s="12" t="n"/>
      <c r="H5" s="9" t="n"/>
      <c r="I5" s="8" t="n"/>
      <c r="J5" s="12" t="n"/>
      <c r="K5" s="8" t="n"/>
    </row>
    <row r="6">
      <c r="A6" s="9" t="n"/>
      <c r="B6" s="8" t="n"/>
      <c r="C6" s="8" t="n"/>
      <c r="D6" s="9" t="n"/>
      <c r="E6" s="8" t="n"/>
      <c r="F6" s="8" t="n"/>
      <c r="G6" s="12" t="n"/>
      <c r="H6" s="9" t="n"/>
      <c r="I6" s="8" t="n"/>
      <c r="J6" s="12" t="n"/>
      <c r="K6" s="8" t="n"/>
    </row>
    <row r="7">
      <c r="A7" s="9" t="n"/>
      <c r="B7" s="8" t="n"/>
      <c r="C7" s="8" t="n"/>
      <c r="D7" s="9" t="n"/>
      <c r="E7" s="8" t="n"/>
      <c r="F7" s="8" t="n"/>
      <c r="G7" s="12" t="n"/>
      <c r="H7" s="9" t="n"/>
      <c r="I7" s="8" t="n"/>
      <c r="J7" s="12" t="n"/>
      <c r="K7" s="8" t="n"/>
    </row>
    <row r="8">
      <c r="A8" s="9" t="n"/>
      <c r="B8" s="8" t="n"/>
      <c r="C8" s="8" t="n"/>
      <c r="D8" s="9" t="n"/>
      <c r="E8" s="8" t="n"/>
      <c r="F8" s="8" t="n"/>
      <c r="G8" s="12" t="n"/>
      <c r="H8" s="9" t="n"/>
      <c r="I8" s="8" t="n"/>
      <c r="J8" s="12" t="n"/>
      <c r="K8" s="8" t="n"/>
    </row>
    <row r="9">
      <c r="A9" s="9" t="n"/>
      <c r="B9" s="8" t="n"/>
      <c r="C9" s="8" t="n"/>
      <c r="D9" s="9" t="n"/>
      <c r="E9" s="8" t="n"/>
      <c r="F9" s="8" t="n"/>
      <c r="G9" s="12" t="n"/>
      <c r="H9" s="9" t="n"/>
      <c r="I9" s="8" t="n"/>
      <c r="J9" s="12" t="n"/>
      <c r="K9" s="8" t="n"/>
    </row>
    <row r="10">
      <c r="A10" s="9" t="n"/>
      <c r="B10" s="8" t="n"/>
      <c r="C10" s="8" t="n"/>
      <c r="D10" s="9" t="n"/>
      <c r="E10" s="8" t="n"/>
      <c r="F10" s="8" t="n"/>
      <c r="G10" s="12" t="n"/>
      <c r="H10" s="9" t="n"/>
      <c r="I10" s="8" t="n"/>
      <c r="J10" s="12" t="n"/>
      <c r="K10" s="8" t="n"/>
    </row>
    <row r="11">
      <c r="A11" s="9" t="n"/>
      <c r="B11" s="8" t="n"/>
      <c r="C11" s="8" t="n"/>
      <c r="D11" s="9" t="n"/>
      <c r="E11" s="8" t="n"/>
      <c r="F11" s="8" t="n"/>
      <c r="G11" s="12" t="n"/>
      <c r="H11" s="9" t="n"/>
      <c r="I11" s="8" t="n"/>
      <c r="J11" s="12" t="n"/>
      <c r="K11" s="8" t="n"/>
    </row>
    <row r="12">
      <c r="A12" s="9" t="n"/>
      <c r="B12" s="8" t="n"/>
      <c r="C12" s="8" t="n"/>
      <c r="D12" s="9" t="n"/>
      <c r="E12" s="8" t="n"/>
      <c r="F12" s="8" t="n"/>
      <c r="G12" s="12" t="n"/>
      <c r="H12" s="9" t="n"/>
      <c r="I12" s="8" t="n"/>
      <c r="J12" s="12" t="n"/>
      <c r="K12" s="8" t="n"/>
    </row>
    <row r="13">
      <c r="A13" s="9" t="n"/>
      <c r="B13" s="8" t="n"/>
      <c r="C13" s="8" t="n"/>
      <c r="D13" s="9" t="n"/>
      <c r="E13" s="8" t="n"/>
      <c r="F13" s="8" t="n"/>
      <c r="G13" s="12" t="n"/>
      <c r="H13" s="9" t="n"/>
      <c r="I13" s="8" t="n"/>
      <c r="J13" s="12" t="n"/>
      <c r="K13" s="8" t="n"/>
    </row>
    <row r="14">
      <c r="A14" s="9" t="n"/>
      <c r="B14" s="8" t="n"/>
      <c r="C14" s="8" t="n"/>
      <c r="D14" s="9" t="n"/>
      <c r="E14" s="8" t="n"/>
      <c r="F14" s="8" t="n"/>
      <c r="G14" s="12" t="n"/>
      <c r="H14" s="9" t="n"/>
      <c r="I14" s="8" t="n"/>
      <c r="J14" s="12" t="n"/>
      <c r="K14" s="8" t="n"/>
    </row>
    <row r="15">
      <c r="A15" s="9" t="n"/>
      <c r="B15" s="8" t="n"/>
      <c r="C15" s="8" t="n"/>
      <c r="D15" s="9" t="n"/>
      <c r="E15" s="8" t="n"/>
      <c r="F15" s="8" t="n"/>
      <c r="G15" s="12" t="n"/>
      <c r="H15" s="9" t="n"/>
      <c r="I15" s="8" t="n"/>
      <c r="J15" s="12" t="n"/>
      <c r="K15" s="8" t="n"/>
    </row>
    <row r="16">
      <c r="A16" s="9" t="n"/>
      <c r="B16" s="8" t="n"/>
      <c r="C16" s="8" t="n"/>
      <c r="D16" s="9" t="n"/>
      <c r="E16" s="8" t="n"/>
      <c r="F16" s="8" t="n"/>
      <c r="G16" s="12" t="n"/>
      <c r="H16" s="9" t="n"/>
      <c r="I16" s="8" t="n"/>
      <c r="J16" s="12" t="n"/>
      <c r="K16" s="8" t="n"/>
    </row>
    <row r="17">
      <c r="A17" s="9" t="n"/>
      <c r="B17" s="8" t="n"/>
      <c r="C17" s="8" t="n"/>
      <c r="D17" s="9" t="n"/>
      <c r="E17" s="8" t="n"/>
      <c r="F17" s="8" t="n"/>
      <c r="G17" s="12" t="n"/>
      <c r="H17" s="9" t="n"/>
      <c r="I17" s="8" t="n"/>
      <c r="J17" s="12" t="n"/>
      <c r="K17" s="8" t="n"/>
    </row>
    <row r="18">
      <c r="A18" s="9" t="n"/>
      <c r="B18" s="8" t="n"/>
      <c r="C18" s="8" t="n"/>
      <c r="D18" s="9" t="n"/>
      <c r="E18" s="8" t="n"/>
      <c r="F18" s="8" t="n"/>
      <c r="G18" s="12" t="n"/>
      <c r="H18" s="9" t="n"/>
      <c r="I18" s="8" t="n"/>
      <c r="J18" s="12" t="n"/>
      <c r="K18" s="8" t="n"/>
    </row>
    <row r="19">
      <c r="A19" s="9" t="n"/>
      <c r="B19" s="8" t="n"/>
      <c r="C19" s="8" t="n"/>
      <c r="D19" s="9" t="n"/>
      <c r="E19" s="8" t="n"/>
      <c r="F19" s="8" t="n"/>
      <c r="G19" s="12" t="n"/>
      <c r="H19" s="9" t="n"/>
      <c r="I19" s="8" t="n"/>
      <c r="J19" s="12" t="n"/>
      <c r="K19" s="8" t="n"/>
    </row>
    <row r="20">
      <c r="A20" s="9" t="n"/>
      <c r="B20" s="8" t="n"/>
      <c r="C20" s="8" t="n"/>
      <c r="D20" s="9" t="n"/>
      <c r="E20" s="8" t="n"/>
      <c r="F20" s="8" t="n"/>
      <c r="G20" s="12" t="n"/>
      <c r="H20" s="9" t="n"/>
      <c r="I20" s="8" t="n"/>
      <c r="J20" s="12" t="n"/>
      <c r="K20" s="8" t="n"/>
    </row>
    <row r="21">
      <c r="A21" s="9" t="n"/>
      <c r="B21" s="8" t="n"/>
      <c r="C21" s="8" t="n"/>
      <c r="D21" s="9" t="n"/>
      <c r="E21" s="8" t="n"/>
      <c r="F21" s="8" t="n"/>
      <c r="G21" s="12" t="n"/>
      <c r="H21" s="9" t="n"/>
      <c r="I21" s="8" t="n"/>
      <c r="J21" s="12" t="n"/>
      <c r="K21" s="8" t="n"/>
    </row>
    <row r="22">
      <c r="A22" s="9" t="n"/>
      <c r="B22" s="8" t="n"/>
      <c r="C22" s="8" t="n"/>
      <c r="D22" s="9" t="n"/>
      <c r="E22" s="8" t="n"/>
      <c r="F22" s="8" t="n"/>
      <c r="G22" s="12" t="n"/>
      <c r="H22" s="9" t="n"/>
      <c r="I22" s="8" t="n"/>
      <c r="J22" s="12" t="n"/>
      <c r="K22" s="8" t="n"/>
    </row>
    <row r="23">
      <c r="A23" s="9" t="n"/>
      <c r="B23" s="8" t="n"/>
      <c r="C23" s="8" t="n"/>
      <c r="D23" s="9" t="n"/>
      <c r="E23" s="8" t="n"/>
      <c r="F23" s="8" t="n"/>
      <c r="G23" s="12" t="n"/>
      <c r="H23" s="9" t="n"/>
      <c r="I23" s="8" t="n"/>
      <c r="J23" s="12" t="n"/>
      <c r="K23" s="8" t="n"/>
    </row>
    <row r="24">
      <c r="A24" s="9" t="n"/>
      <c r="B24" s="8" t="n"/>
      <c r="C24" s="8" t="n"/>
      <c r="D24" s="9" t="n"/>
      <c r="E24" s="8" t="n"/>
      <c r="F24" s="8" t="n"/>
      <c r="G24" s="12" t="n"/>
      <c r="H24" s="9" t="n"/>
      <c r="I24" s="8" t="n"/>
      <c r="J24" s="12" t="n"/>
      <c r="K24" s="8" t="n"/>
    </row>
    <row r="25">
      <c r="A25" s="9" t="n"/>
      <c r="B25" s="8" t="n"/>
      <c r="C25" s="8" t="n"/>
      <c r="D25" s="9" t="n"/>
      <c r="E25" s="8" t="n"/>
      <c r="F25" s="8" t="n"/>
      <c r="G25" s="12" t="n"/>
      <c r="H25" s="9" t="n"/>
      <c r="I25" s="8" t="n"/>
      <c r="J25" s="12" t="n"/>
      <c r="K25" s="8" t="n"/>
    </row>
    <row r="26">
      <c r="A26" s="9" t="n"/>
      <c r="B26" s="8" t="n"/>
      <c r="C26" s="8" t="n"/>
      <c r="D26" s="9" t="n"/>
      <c r="E26" s="8" t="n"/>
      <c r="F26" s="8" t="n"/>
      <c r="G26" s="12" t="n"/>
      <c r="H26" s="9" t="n"/>
      <c r="I26" s="8" t="n"/>
      <c r="J26" s="12" t="n"/>
      <c r="K26" s="8" t="n"/>
    </row>
    <row r="27">
      <c r="A27" s="9" t="n"/>
      <c r="B27" s="8" t="n"/>
      <c r="C27" s="8" t="n"/>
      <c r="D27" s="9" t="n"/>
      <c r="E27" s="8" t="n"/>
      <c r="F27" s="8" t="n"/>
      <c r="G27" s="12" t="n"/>
      <c r="H27" s="9" t="n"/>
      <c r="I27" s="8" t="n"/>
      <c r="J27" s="12" t="n"/>
      <c r="K27" s="8" t="n"/>
    </row>
    <row r="28">
      <c r="A28" s="9" t="n"/>
      <c r="B28" s="8" t="n"/>
      <c r="C28" s="8" t="n"/>
      <c r="D28" s="9" t="n"/>
      <c r="E28" s="8" t="n"/>
      <c r="F28" s="8" t="n"/>
      <c r="G28" s="12" t="n"/>
      <c r="H28" s="9" t="n"/>
      <c r="I28" s="8" t="n"/>
      <c r="J28" s="12" t="n"/>
      <c r="K28" s="8" t="n"/>
    </row>
    <row r="29">
      <c r="A29" s="9" t="n"/>
      <c r="B29" s="8" t="n"/>
      <c r="C29" s="8" t="n"/>
      <c r="D29" s="9" t="n"/>
      <c r="E29" s="8" t="n"/>
      <c r="F29" s="8" t="n"/>
      <c r="G29" s="12" t="n"/>
      <c r="H29" s="9" t="n"/>
      <c r="I29" s="8" t="n"/>
      <c r="J29" s="12" t="n"/>
      <c r="K29" s="8" t="n"/>
    </row>
    <row r="30">
      <c r="A30" s="9" t="n"/>
      <c r="B30" s="8" t="n"/>
      <c r="C30" s="8" t="n"/>
      <c r="D30" s="9" t="n"/>
      <c r="E30" s="8" t="n"/>
      <c r="F30" s="8" t="n"/>
      <c r="G30" s="12" t="n"/>
      <c r="H30" s="9" t="n"/>
      <c r="I30" s="8" t="n"/>
      <c r="J30" s="12" t="n"/>
      <c r="K30" s="8" t="n"/>
    </row>
    <row r="31">
      <c r="A31" s="9" t="n"/>
      <c r="B31" s="8" t="n"/>
      <c r="C31" s="8" t="n"/>
      <c r="D31" s="9" t="n"/>
      <c r="E31" s="8" t="n"/>
      <c r="F31" s="8" t="n"/>
      <c r="G31" s="12" t="n"/>
      <c r="H31" s="9" t="n"/>
      <c r="I31" s="8" t="n"/>
      <c r="J31" s="12" t="n"/>
      <c r="K31" s="8" t="n"/>
    </row>
    <row r="32">
      <c r="A32" s="9" t="n"/>
      <c r="B32" s="8" t="n"/>
      <c r="C32" s="8" t="n"/>
      <c r="D32" s="9" t="n"/>
      <c r="E32" s="8" t="n"/>
      <c r="F32" s="8" t="n"/>
      <c r="G32" s="12" t="n"/>
      <c r="H32" s="9" t="n"/>
      <c r="I32" s="8" t="n"/>
      <c r="J32" s="12" t="n"/>
      <c r="K32" s="8" t="n"/>
    </row>
    <row r="33">
      <c r="A33" s="9" t="n"/>
      <c r="B33" s="8" t="n"/>
      <c r="C33" s="8" t="n"/>
      <c r="D33" s="9" t="n"/>
      <c r="E33" s="8" t="n"/>
      <c r="F33" s="8" t="n"/>
      <c r="G33" s="12" t="n"/>
      <c r="H33" s="9" t="n"/>
      <c r="I33" s="8" t="n"/>
      <c r="J33" s="12" t="n"/>
      <c r="K33" s="8" t="n"/>
    </row>
    <row r="34">
      <c r="A34" s="9" t="n"/>
      <c r="B34" s="8" t="n"/>
      <c r="C34" s="8" t="n"/>
      <c r="D34" s="9" t="n"/>
      <c r="E34" s="8" t="n"/>
      <c r="F34" s="8" t="n"/>
      <c r="G34" s="12" t="n"/>
      <c r="H34" s="9" t="n"/>
      <c r="I34" s="8" t="n"/>
      <c r="J34" s="12" t="n"/>
      <c r="K34" s="8" t="n"/>
    </row>
    <row r="35">
      <c r="A35" s="9" t="n"/>
      <c r="B35" s="8" t="n"/>
      <c r="C35" s="8" t="n"/>
      <c r="D35" s="9" t="n"/>
      <c r="E35" s="8" t="n"/>
      <c r="F35" s="8" t="n"/>
      <c r="G35" s="12" t="n"/>
      <c r="H35" s="9" t="n"/>
      <c r="I35" s="8" t="n"/>
      <c r="J35" s="12" t="n"/>
      <c r="K35" s="8" t="n"/>
    </row>
    <row r="36">
      <c r="A36" s="9" t="n"/>
      <c r="B36" s="8" t="n"/>
      <c r="C36" s="8" t="n"/>
      <c r="D36" s="9" t="n"/>
      <c r="E36" s="8" t="n"/>
      <c r="F36" s="8" t="n"/>
      <c r="G36" s="12" t="n"/>
      <c r="H36" s="9" t="n"/>
      <c r="I36" s="8" t="n"/>
      <c r="J36" s="12" t="n"/>
      <c r="K36" s="8" t="n"/>
    </row>
    <row r="37">
      <c r="A37" s="9" t="n"/>
      <c r="B37" s="8" t="n"/>
      <c r="C37" s="8" t="n"/>
      <c r="D37" s="9" t="n"/>
      <c r="E37" s="8" t="n"/>
      <c r="F37" s="8" t="n"/>
      <c r="G37" s="12" t="n"/>
      <c r="H37" s="9" t="n"/>
      <c r="I37" s="8" t="n"/>
      <c r="J37" s="12" t="n"/>
      <c r="K37" s="8" t="n"/>
    </row>
    <row r="38">
      <c r="A38" s="9" t="n"/>
      <c r="B38" s="8" t="n"/>
      <c r="C38" s="8" t="n"/>
      <c r="D38" s="9" t="n"/>
      <c r="E38" s="8" t="n"/>
      <c r="F38" s="8" t="n"/>
      <c r="G38" s="12" t="n"/>
      <c r="H38" s="9" t="n"/>
      <c r="I38" s="8" t="n"/>
      <c r="J38" s="12" t="n"/>
      <c r="K38" s="8" t="n"/>
    </row>
    <row r="39">
      <c r="A39" s="9" t="n"/>
      <c r="B39" s="8" t="n"/>
      <c r="C39" s="8" t="n"/>
      <c r="D39" s="9" t="n"/>
      <c r="E39" s="8" t="n"/>
      <c r="F39" s="8" t="n"/>
      <c r="G39" s="12" t="n"/>
      <c r="H39" s="9" t="n"/>
      <c r="I39" s="8" t="n"/>
      <c r="J39" s="12" t="n"/>
      <c r="K39" s="8" t="n"/>
    </row>
    <row r="40">
      <c r="A40" s="9" t="n"/>
      <c r="B40" s="8" t="n"/>
      <c r="C40" s="8" t="n"/>
      <c r="D40" s="9" t="n"/>
      <c r="E40" s="8" t="n"/>
      <c r="F40" s="8" t="n"/>
      <c r="G40" s="12" t="n"/>
      <c r="H40" s="9" t="n"/>
      <c r="I40" s="8" t="n"/>
      <c r="J40" s="12" t="n"/>
      <c r="K40" s="8" t="n"/>
    </row>
    <row r="41">
      <c r="A41" s="9" t="n"/>
      <c r="B41" s="8" t="n"/>
      <c r="C41" s="8" t="n"/>
      <c r="D41" s="9" t="n"/>
      <c r="E41" s="8" t="n"/>
      <c r="F41" s="8" t="n"/>
      <c r="G41" s="12" t="n"/>
      <c r="H41" s="9" t="n"/>
      <c r="I41" s="8" t="n"/>
      <c r="J41" s="12" t="n"/>
      <c r="K41" s="8" t="n"/>
    </row>
    <row r="42">
      <c r="A42" s="9" t="n"/>
      <c r="B42" s="8" t="n"/>
      <c r="C42" s="8" t="n"/>
      <c r="D42" s="9" t="n"/>
      <c r="E42" s="8" t="n"/>
      <c r="F42" s="8" t="n"/>
      <c r="G42" s="12" t="n"/>
      <c r="H42" s="9" t="n"/>
      <c r="I42" s="8" t="n"/>
      <c r="J42" s="12" t="n"/>
      <c r="K42" s="8" t="n"/>
    </row>
    <row r="43">
      <c r="A43" s="9" t="n"/>
      <c r="B43" s="8" t="n"/>
      <c r="C43" s="8" t="n"/>
      <c r="D43" s="9" t="n"/>
      <c r="E43" s="8" t="n"/>
      <c r="F43" s="8" t="n"/>
      <c r="G43" s="12" t="n"/>
      <c r="H43" s="9" t="n"/>
      <c r="I43" s="8" t="n"/>
      <c r="J43" s="12" t="n"/>
      <c r="K43" s="8" t="n"/>
    </row>
    <row r="44">
      <c r="A44" s="9" t="n"/>
      <c r="B44" s="8" t="n"/>
      <c r="C44" s="8" t="n"/>
      <c r="D44" s="9" t="n"/>
      <c r="E44" s="8" t="n"/>
      <c r="F44" s="8" t="n"/>
      <c r="G44" s="12" t="n"/>
      <c r="H44" s="9" t="n"/>
      <c r="I44" s="8" t="n"/>
      <c r="J44" s="12" t="n"/>
      <c r="K44" s="8" t="n"/>
    </row>
    <row r="45">
      <c r="A45" s="9" t="n"/>
      <c r="B45" s="8" t="n"/>
      <c r="C45" s="8" t="n"/>
      <c r="D45" s="9" t="n"/>
      <c r="E45" s="8" t="n"/>
      <c r="F45" s="8" t="n"/>
      <c r="G45" s="12" t="n"/>
      <c r="H45" s="9" t="n"/>
      <c r="I45" s="8" t="n"/>
      <c r="J45" s="12" t="n"/>
      <c r="K45" s="8" t="n"/>
    </row>
    <row r="46">
      <c r="A46" s="9" t="n"/>
      <c r="B46" s="8" t="n"/>
      <c r="C46" s="8" t="n"/>
      <c r="D46" s="9" t="n"/>
      <c r="E46" s="8" t="n"/>
      <c r="F46" s="8" t="n"/>
      <c r="G46" s="12" t="n"/>
      <c r="H46" s="9" t="n"/>
      <c r="I46" s="8" t="n"/>
      <c r="J46" s="12" t="n"/>
      <c r="K46" s="8" t="n"/>
    </row>
    <row r="47">
      <c r="A47" s="9" t="n"/>
      <c r="B47" s="8" t="n"/>
      <c r="C47" s="8" t="n"/>
      <c r="D47" s="9" t="n"/>
      <c r="E47" s="8" t="n"/>
      <c r="F47" s="8" t="n"/>
      <c r="G47" s="12" t="n"/>
      <c r="H47" s="9" t="n"/>
      <c r="I47" s="8" t="n"/>
      <c r="J47" s="12" t="n"/>
      <c r="K47" s="8" t="n"/>
    </row>
    <row r="48">
      <c r="A48" s="9" t="n"/>
      <c r="B48" s="8" t="n"/>
      <c r="C48" s="8" t="n"/>
      <c r="D48" s="9" t="n"/>
      <c r="E48" s="8" t="n"/>
      <c r="F48" s="8" t="n"/>
      <c r="G48" s="12" t="n"/>
      <c r="H48" s="9" t="n"/>
      <c r="I48" s="8" t="n"/>
      <c r="J48" s="12" t="n"/>
      <c r="K48" s="8" t="n"/>
    </row>
    <row r="49">
      <c r="A49" s="9" t="n"/>
      <c r="B49" s="8" t="n"/>
      <c r="C49" s="8" t="n"/>
      <c r="D49" s="9" t="n"/>
      <c r="E49" s="8" t="n"/>
      <c r="F49" s="8" t="n"/>
      <c r="G49" s="12" t="n"/>
      <c r="H49" s="9" t="n"/>
      <c r="I49" s="8" t="n"/>
      <c r="J49" s="12" t="n"/>
      <c r="K49" s="8" t="n"/>
    </row>
    <row r="50">
      <c r="A50" s="9" t="n"/>
      <c r="B50" s="8" t="n"/>
      <c r="C50" s="8" t="n"/>
      <c r="D50" s="9" t="n"/>
      <c r="E50" s="8" t="n"/>
      <c r="F50" s="8" t="n"/>
      <c r="G50" s="12" t="n"/>
      <c r="H50" s="9" t="n"/>
      <c r="I50" s="8" t="n"/>
      <c r="J50" s="12" t="n"/>
      <c r="K50" s="8" t="n"/>
    </row>
    <row r="51">
      <c r="A51" s="9" t="n"/>
      <c r="B51" s="8" t="n"/>
      <c r="C51" s="8" t="n"/>
      <c r="D51" s="9" t="n"/>
      <c r="E51" s="8" t="n"/>
      <c r="F51" s="8" t="n"/>
      <c r="G51" s="12" t="n"/>
      <c r="H51" s="9" t="n"/>
      <c r="I51" s="8" t="n"/>
      <c r="J51" s="12" t="n"/>
      <c r="K51" s="8" t="n"/>
    </row>
    <row r="52">
      <c r="A52" s="9" t="n"/>
      <c r="B52" s="8" t="n"/>
      <c r="C52" s="8" t="n"/>
      <c r="D52" s="9" t="n"/>
      <c r="E52" s="8" t="n"/>
      <c r="F52" s="8" t="n"/>
      <c r="G52" s="12" t="n"/>
      <c r="H52" s="9" t="n"/>
      <c r="I52" s="8" t="n"/>
      <c r="J52" s="12" t="n"/>
      <c r="K52" s="8" t="n"/>
    </row>
    <row r="53">
      <c r="A53" s="9" t="n"/>
      <c r="B53" s="8" t="n"/>
      <c r="C53" s="8" t="n"/>
      <c r="D53" s="9" t="n"/>
      <c r="E53" s="8" t="n"/>
      <c r="F53" s="8" t="n"/>
      <c r="G53" s="12" t="n"/>
      <c r="H53" s="9" t="n"/>
      <c r="I53" s="8" t="n"/>
      <c r="J53" s="12" t="n"/>
      <c r="K53" s="8" t="n"/>
    </row>
    <row r="54">
      <c r="A54" s="9" t="n"/>
      <c r="B54" s="8" t="n"/>
      <c r="C54" s="8" t="n"/>
      <c r="D54" s="9" t="n"/>
      <c r="E54" s="8" t="n"/>
      <c r="F54" s="8" t="n"/>
      <c r="G54" s="12" t="n"/>
      <c r="H54" s="9" t="n"/>
      <c r="I54" s="8" t="n"/>
      <c r="J54" s="12" t="n"/>
      <c r="K54" s="8" t="n"/>
    </row>
    <row r="55">
      <c r="A55" s="9" t="n"/>
      <c r="B55" s="8" t="n"/>
      <c r="C55" s="8" t="n"/>
      <c r="D55" s="9" t="n"/>
      <c r="E55" s="8" t="n"/>
      <c r="F55" s="8" t="n"/>
      <c r="G55" s="12" t="n"/>
      <c r="H55" s="9" t="n"/>
      <c r="I55" s="8" t="n"/>
      <c r="J55" s="12" t="n"/>
      <c r="K55" s="8" t="n"/>
    </row>
    <row r="56">
      <c r="A56" s="9" t="n"/>
      <c r="B56" s="8" t="n"/>
      <c r="C56" s="8" t="n"/>
      <c r="D56" s="9" t="n"/>
      <c r="E56" s="8" t="n"/>
      <c r="F56" s="8" t="n"/>
      <c r="G56" s="12" t="n"/>
      <c r="H56" s="9" t="n"/>
      <c r="I56" s="8" t="n"/>
      <c r="J56" s="12" t="n"/>
      <c r="K56" s="8" t="n"/>
    </row>
    <row r="57">
      <c r="A57" s="9" t="n"/>
      <c r="B57" s="8" t="n"/>
      <c r="C57" s="8" t="n"/>
      <c r="D57" s="9" t="n"/>
      <c r="E57" s="8" t="n"/>
      <c r="F57" s="8" t="n"/>
      <c r="G57" s="12" t="n"/>
      <c r="H57" s="9" t="n"/>
      <c r="I57" s="8" t="n"/>
      <c r="J57" s="12" t="n"/>
      <c r="K57" s="8" t="n"/>
    </row>
    <row r="58">
      <c r="A58" s="9" t="n"/>
      <c r="B58" s="8" t="n"/>
      <c r="C58" s="8" t="n"/>
      <c r="D58" s="9" t="n"/>
      <c r="E58" s="8" t="n"/>
      <c r="F58" s="8" t="n"/>
      <c r="G58" s="12" t="n"/>
      <c r="H58" s="9" t="n"/>
      <c r="I58" s="8" t="n"/>
      <c r="J58" s="12" t="n"/>
      <c r="K58" s="8" t="n"/>
    </row>
    <row r="59">
      <c r="A59" s="9" t="n"/>
      <c r="B59" s="8" t="n"/>
      <c r="C59" s="8" t="n"/>
      <c r="D59" s="9" t="n"/>
      <c r="E59" s="8" t="n"/>
      <c r="F59" s="8" t="n"/>
      <c r="G59" s="12" t="n"/>
      <c r="H59" s="9" t="n"/>
      <c r="I59" s="8" t="n"/>
      <c r="J59" s="12" t="n"/>
      <c r="K59" s="8" t="n"/>
    </row>
    <row r="60">
      <c r="A60" s="9" t="n"/>
      <c r="B60" s="8" t="n"/>
      <c r="C60" s="8" t="n"/>
      <c r="D60" s="9" t="n"/>
      <c r="E60" s="8" t="n"/>
      <c r="F60" s="8" t="n"/>
      <c r="G60" s="12" t="n"/>
      <c r="H60" s="9" t="n"/>
      <c r="I60" s="8" t="n"/>
      <c r="J60" s="12" t="n"/>
      <c r="K60" s="8" t="n"/>
    </row>
    <row r="61">
      <c r="A61" s="9" t="n"/>
      <c r="B61" s="8" t="n"/>
      <c r="C61" s="8" t="n"/>
      <c r="D61" s="9" t="n"/>
      <c r="E61" s="8" t="n"/>
      <c r="F61" s="8" t="n"/>
      <c r="G61" s="12" t="n"/>
      <c r="H61" s="9" t="n"/>
      <c r="I61" s="8" t="n"/>
      <c r="J61" s="12" t="n"/>
      <c r="K61" s="8" t="n"/>
    </row>
    <row r="62">
      <c r="A62" s="9" t="n"/>
      <c r="B62" s="8" t="n"/>
      <c r="C62" s="8" t="n"/>
      <c r="D62" s="9" t="n"/>
      <c r="E62" s="8" t="n"/>
      <c r="F62" s="8" t="n"/>
      <c r="G62" s="12" t="n"/>
      <c r="H62" s="9" t="n"/>
      <c r="I62" s="8" t="n"/>
      <c r="J62" s="12" t="n"/>
      <c r="K62" s="8" t="n"/>
    </row>
    <row r="63">
      <c r="A63" s="9" t="n"/>
      <c r="B63" s="8" t="n"/>
      <c r="C63" s="8" t="n"/>
      <c r="D63" s="9" t="n"/>
      <c r="E63" s="8" t="n"/>
      <c r="F63" s="8" t="n"/>
      <c r="G63" s="12" t="n"/>
      <c r="H63" s="9" t="n"/>
      <c r="I63" s="8" t="n"/>
      <c r="J63" s="12" t="n"/>
      <c r="K63" s="8" t="n"/>
    </row>
    <row r="64">
      <c r="A64" s="9" t="n"/>
      <c r="B64" s="8" t="n"/>
      <c r="C64" s="8" t="n"/>
      <c r="D64" s="9" t="n"/>
      <c r="E64" s="8" t="n"/>
      <c r="F64" s="8" t="n"/>
      <c r="G64" s="12" t="n"/>
      <c r="H64" s="9" t="n"/>
      <c r="I64" s="8" t="n"/>
      <c r="J64" s="12" t="n"/>
      <c r="K64" s="8" t="n"/>
    </row>
    <row r="65">
      <c r="A65" s="9" t="n"/>
      <c r="B65" s="8" t="n"/>
      <c r="C65" s="8" t="n"/>
      <c r="D65" s="9" t="n"/>
      <c r="E65" s="8" t="n"/>
      <c r="F65" s="8" t="n"/>
      <c r="G65" s="12" t="n"/>
      <c r="H65" s="9" t="n"/>
      <c r="I65" s="8" t="n"/>
      <c r="J65" s="12" t="n"/>
      <c r="K65" s="8" t="n"/>
    </row>
    <row r="66">
      <c r="A66" s="9" t="n"/>
      <c r="B66" s="8" t="n"/>
      <c r="C66" s="8" t="n"/>
      <c r="D66" s="9" t="n"/>
      <c r="E66" s="8" t="n"/>
      <c r="F66" s="8" t="n"/>
      <c r="G66" s="12" t="n"/>
      <c r="H66" s="9" t="n"/>
      <c r="I66" s="8" t="n"/>
      <c r="J66" s="12" t="n"/>
      <c r="K66" s="8" t="n"/>
    </row>
    <row r="67">
      <c r="A67" s="9" t="n"/>
      <c r="B67" s="8" t="n"/>
      <c r="C67" s="8" t="n"/>
      <c r="D67" s="9" t="n"/>
      <c r="E67" s="8" t="n"/>
      <c r="F67" s="8" t="n"/>
      <c r="G67" s="12" t="n"/>
      <c r="H67" s="9" t="n"/>
      <c r="I67" s="8" t="n"/>
      <c r="J67" s="12" t="n"/>
      <c r="K67" s="8" t="n"/>
    </row>
    <row r="68">
      <c r="A68" s="9" t="n"/>
      <c r="B68" s="8" t="n"/>
      <c r="C68" s="8" t="n"/>
      <c r="D68" s="9" t="n"/>
      <c r="E68" s="8" t="n"/>
      <c r="F68" s="8" t="n"/>
      <c r="G68" s="12" t="n"/>
      <c r="H68" s="9" t="n"/>
      <c r="I68" s="8" t="n"/>
      <c r="J68" s="12" t="n"/>
      <c r="K68" s="8" t="n"/>
    </row>
    <row r="69">
      <c r="A69" s="9" t="n"/>
      <c r="B69" s="8" t="n"/>
      <c r="C69" s="8" t="n"/>
      <c r="D69" s="9" t="n"/>
      <c r="E69" s="8" t="n"/>
      <c r="F69" s="8" t="n"/>
      <c r="G69" s="12" t="n"/>
      <c r="H69" s="9" t="n"/>
      <c r="I69" s="8" t="n"/>
      <c r="J69" s="12" t="n"/>
      <c r="K69" s="8" t="n"/>
    </row>
    <row r="70">
      <c r="A70" s="9" t="n"/>
      <c r="B70" s="8" t="n"/>
      <c r="C70" s="8" t="n"/>
      <c r="D70" s="9" t="n"/>
      <c r="E70" s="8" t="n"/>
      <c r="F70" s="8" t="n"/>
      <c r="G70" s="12" t="n"/>
      <c r="H70" s="9" t="n"/>
      <c r="I70" s="8" t="n"/>
      <c r="J70" s="12" t="n"/>
      <c r="K70" s="8" t="n"/>
    </row>
    <row r="71">
      <c r="A71" s="9" t="n"/>
      <c r="B71" s="8" t="n"/>
      <c r="C71" s="8" t="n"/>
      <c r="D71" s="9" t="n"/>
      <c r="E71" s="8" t="n"/>
      <c r="F71" s="8" t="n"/>
      <c r="G71" s="12" t="n"/>
      <c r="H71" s="9" t="n"/>
      <c r="I71" s="8" t="n"/>
      <c r="J71" s="12" t="n"/>
      <c r="K71" s="8" t="n"/>
    </row>
    <row r="72">
      <c r="A72" s="9" t="n"/>
      <c r="B72" s="8" t="n"/>
      <c r="C72" s="8" t="n"/>
      <c r="D72" s="9" t="n"/>
      <c r="E72" s="8" t="n"/>
      <c r="F72" s="8" t="n"/>
      <c r="G72" s="12" t="n"/>
      <c r="H72" s="9" t="n"/>
      <c r="I72" s="8" t="n"/>
      <c r="J72" s="12" t="n"/>
      <c r="K72" s="8" t="n"/>
    </row>
    <row r="73">
      <c r="A73" s="9" t="n"/>
      <c r="B73" s="8" t="n"/>
      <c r="C73" s="8" t="n"/>
      <c r="D73" s="9" t="n"/>
      <c r="E73" s="8" t="n"/>
      <c r="F73" s="8" t="n"/>
      <c r="G73" s="12" t="n"/>
      <c r="H73" s="9" t="n"/>
      <c r="I73" s="8" t="n"/>
      <c r="J73" s="12" t="n"/>
      <c r="K73" s="8" t="n"/>
    </row>
    <row r="74">
      <c r="A74" s="9" t="n"/>
      <c r="B74" s="8" t="n"/>
      <c r="C74" s="8" t="n"/>
      <c r="D74" s="9" t="n"/>
      <c r="E74" s="8" t="n"/>
      <c r="F74" s="8" t="n"/>
      <c r="G74" s="12" t="n"/>
      <c r="H74" s="9" t="n"/>
      <c r="I74" s="8" t="n"/>
      <c r="J74" s="12" t="n"/>
      <c r="K74" s="8" t="n"/>
    </row>
    <row r="75">
      <c r="A75" s="9" t="n"/>
      <c r="B75" s="8" t="n"/>
      <c r="C75" s="8" t="n"/>
      <c r="D75" s="9" t="n"/>
      <c r="E75" s="8" t="n"/>
      <c r="F75" s="8" t="n"/>
      <c r="G75" s="12" t="n"/>
      <c r="H75" s="9" t="n"/>
      <c r="I75" s="8" t="n"/>
      <c r="J75" s="12" t="n"/>
      <c r="K75" s="8" t="n"/>
    </row>
    <row r="76">
      <c r="A76" s="9" t="n"/>
      <c r="B76" s="8" t="n"/>
      <c r="C76" s="8" t="n"/>
      <c r="D76" s="9" t="n"/>
      <c r="E76" s="8" t="n"/>
      <c r="F76" s="8" t="n"/>
      <c r="G76" s="12" t="n"/>
      <c r="H76" s="9" t="n"/>
      <c r="I76" s="8" t="n"/>
      <c r="J76" s="12" t="n"/>
      <c r="K76" s="8" t="n"/>
    </row>
    <row r="77">
      <c r="A77" s="9" t="n"/>
      <c r="B77" s="8" t="n"/>
      <c r="C77" s="8" t="n"/>
      <c r="D77" s="9" t="n"/>
      <c r="E77" s="8" t="n"/>
      <c r="F77" s="8" t="n"/>
      <c r="G77" s="12" t="n"/>
      <c r="H77" s="9" t="n"/>
      <c r="I77" s="8" t="n"/>
      <c r="J77" s="12" t="n"/>
      <c r="K77" s="8" t="n"/>
    </row>
    <row r="78">
      <c r="A78" s="9" t="n"/>
      <c r="B78" s="8" t="n"/>
      <c r="C78" s="8" t="n"/>
      <c r="D78" s="9" t="n"/>
      <c r="E78" s="8" t="n"/>
      <c r="F78" s="8" t="n"/>
      <c r="G78" s="12" t="n"/>
      <c r="H78" s="9" t="n"/>
      <c r="I78" s="8" t="n"/>
      <c r="J78" s="12" t="n"/>
      <c r="K78" s="8" t="n"/>
    </row>
    <row r="79">
      <c r="A79" s="9" t="n"/>
      <c r="B79" s="8" t="n"/>
      <c r="C79" s="8" t="n"/>
      <c r="D79" s="9" t="n"/>
      <c r="E79" s="8" t="n"/>
      <c r="F79" s="8" t="n"/>
      <c r="G79" s="12" t="n"/>
      <c r="H79" s="9" t="n"/>
      <c r="I79" s="8" t="n"/>
      <c r="J79" s="12" t="n"/>
      <c r="K79" s="8" t="n"/>
    </row>
    <row r="80">
      <c r="A80" s="9" t="n"/>
      <c r="B80" s="8" t="n"/>
      <c r="C80" s="8" t="n"/>
      <c r="D80" s="9" t="n"/>
      <c r="E80" s="8" t="n"/>
      <c r="F80" s="8" t="n"/>
      <c r="G80" s="12" t="n"/>
      <c r="H80" s="9" t="n"/>
      <c r="I80" s="8" t="n"/>
      <c r="J80" s="12" t="n"/>
      <c r="K80" s="8" t="n"/>
    </row>
    <row r="81">
      <c r="A81" s="9" t="n"/>
      <c r="B81" s="8" t="n"/>
      <c r="C81" s="8" t="n"/>
      <c r="D81" s="9" t="n"/>
      <c r="E81" s="8" t="n"/>
      <c r="F81" s="8" t="n"/>
      <c r="G81" s="12" t="n"/>
      <c r="H81" s="9" t="n"/>
      <c r="I81" s="8" t="n"/>
      <c r="J81" s="12" t="n"/>
      <c r="K81" s="8" t="n"/>
    </row>
    <row r="82">
      <c r="A82" s="9" t="n"/>
      <c r="B82" s="8" t="n"/>
      <c r="C82" s="8" t="n"/>
      <c r="D82" s="9" t="n"/>
      <c r="E82" s="8" t="n"/>
      <c r="F82" s="8" t="n"/>
      <c r="G82" s="12" t="n"/>
      <c r="H82" s="9" t="n"/>
      <c r="I82" s="8" t="n"/>
      <c r="J82" s="12" t="n"/>
      <c r="K82" s="8" t="n"/>
    </row>
    <row r="83">
      <c r="A83" s="9" t="n"/>
      <c r="B83" s="8" t="n"/>
      <c r="C83" s="8" t="n"/>
      <c r="D83" s="9" t="n"/>
      <c r="E83" s="8" t="n"/>
      <c r="F83" s="8" t="n"/>
      <c r="G83" s="12" t="n"/>
      <c r="H83" s="9" t="n"/>
      <c r="I83" s="8" t="n"/>
      <c r="J83" s="12" t="n"/>
      <c r="K83" s="8" t="n"/>
    </row>
    <row r="84">
      <c r="A84" s="9" t="n"/>
      <c r="B84" s="8" t="n"/>
      <c r="C84" s="8" t="n"/>
      <c r="D84" s="9" t="n"/>
      <c r="E84" s="8" t="n"/>
      <c r="F84" s="8" t="n"/>
      <c r="G84" s="12" t="n"/>
      <c r="H84" s="9" t="n"/>
      <c r="I84" s="8" t="n"/>
      <c r="J84" s="12" t="n"/>
      <c r="K84" s="8" t="n"/>
    </row>
    <row r="85">
      <c r="A85" s="9" t="n"/>
      <c r="B85" s="8" t="n"/>
      <c r="C85" s="8" t="n"/>
      <c r="D85" s="9" t="n"/>
      <c r="E85" s="8" t="n"/>
      <c r="F85" s="8" t="n"/>
      <c r="G85" s="12" t="n"/>
      <c r="H85" s="9" t="n"/>
      <c r="I85" s="8" t="n"/>
      <c r="J85" s="12" t="n"/>
      <c r="K85" s="8" t="n"/>
    </row>
    <row r="86">
      <c r="A86" s="9" t="n"/>
      <c r="B86" s="8" t="n"/>
      <c r="C86" s="8" t="n"/>
      <c r="D86" s="9" t="n"/>
      <c r="E86" s="8" t="n"/>
      <c r="F86" s="8" t="n"/>
      <c r="G86" s="12" t="n"/>
      <c r="H86" s="9" t="n"/>
      <c r="I86" s="8" t="n"/>
      <c r="J86" s="12" t="n"/>
      <c r="K86" s="8" t="n"/>
    </row>
    <row r="87">
      <c r="A87" s="9" t="n"/>
      <c r="B87" s="8" t="n"/>
      <c r="C87" s="8" t="n"/>
      <c r="D87" s="9" t="n"/>
      <c r="E87" s="8" t="n"/>
      <c r="F87" s="8" t="n"/>
      <c r="G87" s="12" t="n"/>
      <c r="H87" s="9" t="n"/>
      <c r="I87" s="8" t="n"/>
      <c r="J87" s="12" t="n"/>
      <c r="K87" s="8" t="n"/>
    </row>
    <row r="88">
      <c r="A88" s="9" t="n"/>
      <c r="B88" s="8" t="n"/>
      <c r="C88" s="8" t="n"/>
      <c r="D88" s="9" t="n"/>
      <c r="E88" s="8" t="n"/>
      <c r="F88" s="8" t="n"/>
      <c r="G88" s="12" t="n"/>
      <c r="H88" s="9" t="n"/>
      <c r="I88" s="8" t="n"/>
      <c r="J88" s="12" t="n"/>
      <c r="K88" s="8" t="n"/>
    </row>
    <row r="89">
      <c r="A89" s="9" t="n"/>
      <c r="B89" s="8" t="n"/>
      <c r="C89" s="8" t="n"/>
      <c r="D89" s="9" t="n"/>
      <c r="E89" s="8" t="n"/>
      <c r="F89" s="8" t="n"/>
      <c r="G89" s="12" t="n"/>
      <c r="H89" s="9" t="n"/>
      <c r="I89" s="8" t="n"/>
      <c r="J89" s="12" t="n"/>
      <c r="K89" s="8" t="n"/>
    </row>
    <row r="90">
      <c r="A90" s="9" t="n"/>
      <c r="B90" s="8" t="n"/>
      <c r="C90" s="8" t="n"/>
      <c r="D90" s="9" t="n"/>
      <c r="E90" s="8" t="n"/>
      <c r="F90" s="8" t="n"/>
      <c r="G90" s="12" t="n"/>
      <c r="H90" s="9" t="n"/>
      <c r="I90" s="8" t="n"/>
      <c r="J90" s="12" t="n"/>
      <c r="K90" s="8" t="n"/>
    </row>
    <row r="91">
      <c r="A91" s="9" t="n"/>
      <c r="B91" s="8" t="n"/>
      <c r="C91" s="8" t="n"/>
      <c r="D91" s="9" t="n"/>
      <c r="E91" s="8" t="n"/>
      <c r="F91" s="8" t="n"/>
      <c r="G91" s="12" t="n"/>
      <c r="H91" s="9" t="n"/>
      <c r="I91" s="8" t="n"/>
      <c r="J91" s="12" t="n"/>
      <c r="K91" s="8" t="n"/>
    </row>
    <row r="92">
      <c r="A92" s="9" t="n"/>
      <c r="B92" s="8" t="n"/>
      <c r="C92" s="8" t="n"/>
      <c r="D92" s="9" t="n"/>
      <c r="E92" s="8" t="n"/>
      <c r="F92" s="8" t="n"/>
      <c r="G92" s="12" t="n"/>
      <c r="H92" s="9" t="n"/>
      <c r="I92" s="8" t="n"/>
      <c r="J92" s="12" t="n"/>
      <c r="K92" s="8" t="n"/>
    </row>
    <row r="93">
      <c r="A93" s="9" t="n"/>
      <c r="B93" s="8" t="n"/>
      <c r="C93" s="8" t="n"/>
      <c r="D93" s="9" t="n"/>
      <c r="E93" s="8" t="n"/>
      <c r="F93" s="8" t="n"/>
      <c r="G93" s="12" t="n"/>
      <c r="H93" s="9" t="n"/>
      <c r="I93" s="8" t="n"/>
      <c r="J93" s="12" t="n"/>
      <c r="K93" s="8" t="n"/>
    </row>
    <row r="94">
      <c r="A94" s="9" t="n"/>
      <c r="B94" s="8" t="n"/>
      <c r="C94" s="8" t="n"/>
      <c r="D94" s="9" t="n"/>
      <c r="E94" s="8" t="n"/>
      <c r="F94" s="8" t="n"/>
      <c r="G94" s="12" t="n"/>
      <c r="H94" s="9" t="n"/>
      <c r="I94" s="8" t="n"/>
      <c r="J94" s="12" t="n"/>
      <c r="K94" s="8" t="n"/>
    </row>
    <row r="95">
      <c r="A95" s="9" t="n"/>
      <c r="B95" s="8" t="n"/>
      <c r="C95" s="8" t="n"/>
      <c r="D95" s="9" t="n"/>
      <c r="E95" s="8" t="n"/>
      <c r="F95" s="8" t="n"/>
      <c r="G95" s="12" t="n"/>
      <c r="H95" s="9" t="n"/>
      <c r="I95" s="8" t="n"/>
      <c r="J95" s="12" t="n"/>
      <c r="K95" s="8" t="n"/>
    </row>
    <row r="96">
      <c r="A96" s="9" t="n"/>
      <c r="B96" s="8" t="n"/>
      <c r="C96" s="8" t="n"/>
      <c r="D96" s="9" t="n"/>
      <c r="E96" s="8" t="n"/>
      <c r="F96" s="8" t="n"/>
      <c r="G96" s="12" t="n"/>
      <c r="H96" s="9" t="n"/>
      <c r="I96" s="8" t="n"/>
      <c r="J96" s="12" t="n"/>
      <c r="K96" s="8" t="n"/>
    </row>
    <row r="97">
      <c r="A97" s="9" t="n"/>
      <c r="B97" s="8" t="n"/>
      <c r="C97" s="8" t="n"/>
      <c r="D97" s="9" t="n"/>
      <c r="E97" s="8" t="n"/>
      <c r="F97" s="8" t="n"/>
      <c r="G97" s="12" t="n"/>
      <c r="H97" s="9" t="n"/>
      <c r="I97" s="8" t="n"/>
      <c r="J97" s="12" t="n"/>
      <c r="K97" s="8" t="n"/>
    </row>
    <row r="98">
      <c r="A98" s="9" t="n"/>
      <c r="B98" s="8" t="n"/>
      <c r="C98" s="8" t="n"/>
      <c r="D98" s="9" t="n"/>
      <c r="E98" s="8" t="n"/>
      <c r="F98" s="8" t="n"/>
      <c r="G98" s="12" t="n"/>
      <c r="H98" s="9" t="n"/>
      <c r="I98" s="8" t="n"/>
      <c r="J98" s="12" t="n"/>
      <c r="K98" s="8" t="n"/>
    </row>
    <row r="99">
      <c r="A99" s="9" t="n"/>
      <c r="B99" s="8" t="n"/>
      <c r="C99" s="8" t="n"/>
      <c r="D99" s="9" t="n"/>
      <c r="E99" s="8" t="n"/>
      <c r="F99" s="8" t="n"/>
      <c r="G99" s="12" t="n"/>
      <c r="H99" s="9" t="n"/>
      <c r="I99" s="8" t="n"/>
      <c r="J99" s="12" t="n"/>
      <c r="K99" s="8" t="n"/>
    </row>
    <row r="100">
      <c r="A100" s="9" t="n"/>
      <c r="B100" s="8" t="n"/>
      <c r="C100" s="8" t="n"/>
      <c r="D100" s="9" t="n"/>
      <c r="E100" s="8" t="n"/>
      <c r="F100" s="8" t="n"/>
      <c r="G100" s="12" t="n"/>
      <c r="H100" s="9" t="n"/>
      <c r="I100" s="8" t="n"/>
      <c r="J100" s="12" t="n"/>
      <c r="K100" s="8" t="n"/>
    </row>
    <row r="101">
      <c r="A101" s="9" t="n"/>
      <c r="B101" s="8" t="n"/>
      <c r="C101" s="8" t="n"/>
      <c r="D101" s="9" t="n"/>
      <c r="E101" s="8" t="n"/>
      <c r="F101" s="8" t="n"/>
      <c r="G101" s="12" t="n"/>
      <c r="H101" s="9" t="n"/>
      <c r="I101" s="8" t="n"/>
      <c r="J101" s="12" t="n"/>
      <c r="K101" s="8" t="n"/>
    </row>
    <row r="102">
      <c r="A102" s="9" t="n"/>
      <c r="B102" s="8" t="n"/>
      <c r="C102" s="8" t="n"/>
      <c r="D102" s="9" t="n"/>
      <c r="E102" s="8" t="n"/>
      <c r="F102" s="8" t="n"/>
      <c r="G102" s="12" t="n"/>
      <c r="H102" s="9" t="n"/>
      <c r="I102" s="8" t="n"/>
      <c r="J102" s="12" t="n"/>
      <c r="K102" s="8" t="n"/>
    </row>
    <row r="103">
      <c r="A103" s="9" t="n"/>
      <c r="B103" s="8" t="n"/>
      <c r="C103" s="8" t="n"/>
      <c r="D103" s="9" t="n"/>
      <c r="E103" s="8" t="n"/>
      <c r="F103" s="8" t="n"/>
      <c r="G103" s="12" t="n"/>
      <c r="H103" s="9" t="n"/>
      <c r="I103" s="8" t="n"/>
      <c r="J103" s="12" t="n"/>
      <c r="K103" s="8" t="n"/>
    </row>
    <row r="104">
      <c r="A104" s="9" t="n"/>
      <c r="B104" s="8" t="n"/>
      <c r="C104" s="8" t="n"/>
      <c r="D104" s="9" t="n"/>
      <c r="E104" s="8" t="n"/>
      <c r="F104" s="8" t="n"/>
      <c r="G104" s="12" t="n"/>
      <c r="H104" s="9" t="n"/>
      <c r="I104" s="8" t="n"/>
      <c r="J104" s="12" t="n"/>
      <c r="K104" s="8" t="n"/>
    </row>
    <row r="105">
      <c r="A105" s="9" t="n"/>
      <c r="B105" s="8" t="n"/>
      <c r="C105" s="8" t="n"/>
      <c r="D105" s="9" t="n"/>
      <c r="E105" s="8" t="n"/>
      <c r="F105" s="8" t="n"/>
      <c r="G105" s="12" t="n"/>
      <c r="H105" s="9" t="n"/>
      <c r="I105" s="8" t="n"/>
      <c r="J105" s="12" t="n"/>
      <c r="K105" s="8" t="n"/>
    </row>
    <row r="106">
      <c r="A106" s="9" t="n"/>
      <c r="B106" s="8" t="n"/>
      <c r="C106" s="8" t="n"/>
      <c r="D106" s="9" t="n"/>
      <c r="E106" s="8" t="n"/>
      <c r="F106" s="8" t="n"/>
      <c r="G106" s="12" t="n"/>
      <c r="H106" s="9" t="n"/>
      <c r="I106" s="8" t="n"/>
      <c r="J106" s="12" t="n"/>
      <c r="K106" s="8" t="n"/>
    </row>
    <row r="107">
      <c r="A107" s="9" t="n"/>
      <c r="B107" s="8" t="n"/>
      <c r="C107" s="8" t="n"/>
      <c r="D107" s="9" t="n"/>
      <c r="E107" s="8" t="n"/>
      <c r="F107" s="8" t="n"/>
      <c r="G107" s="12" t="n"/>
      <c r="H107" s="9" t="n"/>
      <c r="I107" s="8" t="n"/>
      <c r="J107" s="12" t="n"/>
      <c r="K107" s="8" t="n"/>
    </row>
    <row r="108">
      <c r="A108" s="9" t="n"/>
      <c r="B108" s="8" t="n"/>
      <c r="C108" s="8" t="n"/>
      <c r="D108" s="9" t="n"/>
      <c r="E108" s="8" t="n"/>
      <c r="F108" s="8" t="n"/>
      <c r="G108" s="12" t="n"/>
      <c r="H108" s="9" t="n"/>
      <c r="I108" s="8" t="n"/>
      <c r="J108" s="12" t="n"/>
      <c r="K108" s="8" t="n"/>
    </row>
    <row r="109">
      <c r="A109" s="9" t="n"/>
      <c r="B109" s="8" t="n"/>
      <c r="C109" s="8" t="n"/>
      <c r="D109" s="9" t="n"/>
      <c r="E109" s="8" t="n"/>
      <c r="F109" s="8" t="n"/>
      <c r="G109" s="12" t="n"/>
      <c r="H109" s="9" t="n"/>
      <c r="I109" s="8" t="n"/>
      <c r="J109" s="12" t="n"/>
      <c r="K109" s="8" t="n"/>
    </row>
    <row r="110">
      <c r="A110" s="9" t="n"/>
      <c r="B110" s="8" t="n"/>
      <c r="C110" s="8" t="n"/>
      <c r="D110" s="9" t="n"/>
      <c r="E110" s="8" t="n"/>
      <c r="F110" s="8" t="n"/>
      <c r="G110" s="12" t="n"/>
      <c r="H110" s="9" t="n"/>
      <c r="I110" s="8" t="n"/>
      <c r="J110" s="12" t="n"/>
      <c r="K110" s="8" t="n"/>
    </row>
    <row r="111">
      <c r="A111" s="9" t="n"/>
      <c r="B111" s="8" t="n"/>
      <c r="C111" s="8" t="n"/>
      <c r="D111" s="9" t="n"/>
      <c r="E111" s="8" t="n"/>
      <c r="F111" s="8" t="n"/>
      <c r="G111" s="12" t="n"/>
      <c r="H111" s="9" t="n"/>
      <c r="I111" s="8" t="n"/>
      <c r="J111" s="12" t="n"/>
      <c r="K111" s="8" t="n"/>
    </row>
    <row r="112">
      <c r="A112" s="9" t="n"/>
      <c r="B112" s="8" t="n"/>
      <c r="C112" s="8" t="n"/>
      <c r="D112" s="9" t="n"/>
      <c r="E112" s="8" t="n"/>
      <c r="F112" s="8" t="n"/>
      <c r="G112" s="12" t="n"/>
      <c r="H112" s="9" t="n"/>
      <c r="I112" s="8" t="n"/>
      <c r="J112" s="12" t="n"/>
      <c r="K112" s="8" t="n"/>
    </row>
    <row r="113">
      <c r="A113" s="9" t="n"/>
      <c r="B113" s="8" t="n"/>
      <c r="C113" s="8" t="n"/>
      <c r="D113" s="9" t="n"/>
      <c r="E113" s="8" t="n"/>
      <c r="F113" s="8" t="n"/>
      <c r="G113" s="12" t="n"/>
      <c r="H113" s="9" t="n"/>
      <c r="I113" s="8" t="n"/>
      <c r="J113" s="12" t="n"/>
      <c r="K113" s="8" t="n"/>
    </row>
    <row r="114">
      <c r="A114" s="9" t="n"/>
      <c r="B114" s="8" t="n"/>
      <c r="C114" s="8" t="n"/>
      <c r="D114" s="9" t="n"/>
      <c r="E114" s="8" t="n"/>
      <c r="F114" s="8" t="n"/>
      <c r="G114" s="12" t="n"/>
      <c r="H114" s="9" t="n"/>
      <c r="I114" s="8" t="n"/>
      <c r="J114" s="12" t="n"/>
      <c r="K114" s="8" t="n"/>
    </row>
    <row r="115">
      <c r="A115" s="9" t="n"/>
      <c r="B115" s="8" t="n"/>
      <c r="C115" s="8" t="n"/>
      <c r="D115" s="9" t="n"/>
      <c r="E115" s="8" t="n"/>
      <c r="F115" s="8" t="n"/>
      <c r="G115" s="12" t="n"/>
      <c r="H115" s="9" t="n"/>
      <c r="I115" s="8" t="n"/>
      <c r="J115" s="12" t="n"/>
      <c r="K115" s="8" t="n"/>
    </row>
    <row r="116">
      <c r="A116" s="9" t="n"/>
      <c r="B116" s="8" t="n"/>
      <c r="C116" s="8" t="n"/>
      <c r="D116" s="9" t="n"/>
      <c r="E116" s="8" t="n"/>
      <c r="F116" s="8" t="n"/>
      <c r="G116" s="12" t="n"/>
      <c r="H116" s="9" t="n"/>
      <c r="I116" s="8" t="n"/>
      <c r="J116" s="12" t="n"/>
      <c r="K116" s="8" t="n"/>
    </row>
    <row r="117">
      <c r="A117" s="9" t="n"/>
      <c r="B117" s="8" t="n"/>
      <c r="C117" s="8" t="n"/>
      <c r="D117" s="9" t="n"/>
      <c r="E117" s="8" t="n"/>
      <c r="F117" s="8" t="n"/>
      <c r="G117" s="12" t="n"/>
      <c r="H117" s="9" t="n"/>
      <c r="I117" s="8" t="n"/>
      <c r="J117" s="12" t="n"/>
      <c r="K117" s="8" t="n"/>
    </row>
    <row r="118">
      <c r="A118" s="9" t="n"/>
      <c r="B118" s="8" t="n"/>
      <c r="C118" s="8" t="n"/>
      <c r="D118" s="9" t="n"/>
      <c r="E118" s="8" t="n"/>
      <c r="F118" s="8" t="n"/>
      <c r="G118" s="12" t="n"/>
      <c r="H118" s="9" t="n"/>
      <c r="I118" s="8" t="n"/>
      <c r="J118" s="12" t="n"/>
      <c r="K118" s="8" t="n"/>
    </row>
    <row r="119">
      <c r="A119" s="9" t="n"/>
      <c r="B119" s="8" t="n"/>
      <c r="C119" s="8" t="n"/>
      <c r="D119" s="9" t="n"/>
      <c r="E119" s="8" t="n"/>
      <c r="F119" s="8" t="n"/>
      <c r="G119" s="12" t="n"/>
      <c r="H119" s="9" t="n"/>
      <c r="I119" s="8" t="n"/>
      <c r="J119" s="12" t="n"/>
      <c r="K119" s="8" t="n"/>
    </row>
    <row r="120">
      <c r="A120" s="9" t="n"/>
      <c r="B120" s="8" t="n"/>
      <c r="C120" s="8" t="n"/>
      <c r="D120" s="9" t="n"/>
      <c r="E120" s="8" t="n"/>
      <c r="F120" s="8" t="n"/>
      <c r="G120" s="12" t="n"/>
      <c r="H120" s="9" t="n"/>
      <c r="I120" s="8" t="n"/>
      <c r="J120" s="12" t="n"/>
      <c r="K120" s="8" t="n"/>
    </row>
  </sheetData>
  <conditionalFormatting sqref="I4:I120">
    <cfRule type="cellIs" priority="1" operator="equal" dxfId="0">
      <formula>"Paid"</formula>
    </cfRule>
    <cfRule type="cellIs" priority="2" operator="equal" dxfId="4">
      <formula>"Denied"</formula>
    </cfRule>
  </conditionalFormatting>
  <dataValidations count="2">
    <dataValidation sqref="E4:E120" showDropDown="0" showInputMessage="0" showErrorMessage="0" allowBlank="1" type="list">
      <formula1>"Detention,Layover,TONU,Lumper,Other"</formula1>
    </dataValidation>
    <dataValidation sqref="I4:I120" showDropDown="0" showInputMessage="0" showErrorMessage="0" allowBlank="1" type="list">
      <formula1>"Submitted,Approved,Paid,Denied,Dropped"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1" customWidth="1" min="3" max="3"/>
    <col width="12" customWidth="1" min="4" max="4"/>
    <col width="12" customWidth="1" min="5" max="5"/>
    <col width="11" customWidth="1" min="6" max="6"/>
    <col width="12" customWidth="1" min="7" max="7"/>
    <col width="11" customWidth="1" min="8" max="8"/>
    <col width="26" customWidth="1" min="9" max="9"/>
    <col width="11" customWidth="1" min="10" max="10"/>
    <col width="9" customWidth="1" min="11" max="11"/>
  </cols>
  <sheetData>
    <row r="1">
      <c r="A1" s="1" t="inlineStr">
        <is>
          <t>STEADHAUL DISPATCH — BILLING</t>
        </is>
      </c>
    </row>
    <row r="2">
      <c r="A2" s="2" t="inlineStr">
        <is>
          <t>Every promise about money lives here. Standard fee comes from the plan. Fee due goes to zero for a free week, and for any week you booked them nothing — the site says truck down, you owe nothing.</t>
        </is>
      </c>
    </row>
    <row r="3" ht="30" customHeight="1">
      <c r="A3" s="3" t="inlineStr">
        <is>
          <t>Week ending</t>
        </is>
      </c>
      <c r="B3" s="3" t="inlineStr">
        <is>
          <t>Carrier</t>
        </is>
      </c>
      <c r="C3" s="3" t="inlineStr">
        <is>
          <t>Plan</t>
        </is>
      </c>
      <c r="D3" s="3" t="inlineStr">
        <is>
          <t>Standard fee</t>
        </is>
      </c>
      <c r="E3" s="3" t="inlineStr">
        <is>
          <t>Loads booked</t>
        </is>
      </c>
      <c r="F3" s="3" t="inlineStr">
        <is>
          <t>Free week?</t>
        </is>
      </c>
      <c r="G3" s="3" t="inlineStr">
        <is>
          <t>Truck down?</t>
        </is>
      </c>
      <c r="H3" s="3" t="inlineStr">
        <is>
          <t>Fee due</t>
        </is>
      </c>
      <c r="I3" s="3" t="inlineStr">
        <is>
          <t>Waiver reason</t>
        </is>
      </c>
      <c r="J3" s="3" t="inlineStr">
        <is>
          <t>Invoiced</t>
        </is>
      </c>
      <c r="K3" s="3" t="inlineStr">
        <is>
          <t>Paid</t>
        </is>
      </c>
    </row>
    <row r="4">
      <c r="A4" s="5" t="n">
        <v>46292</v>
      </c>
      <c r="B4" s="4" t="inlineStr">
        <is>
          <t>Example Trucking LLC</t>
        </is>
      </c>
      <c r="C4" s="4" t="inlineStr">
        <is>
          <t>Core</t>
        </is>
      </c>
      <c r="D4" s="16">
        <f>IF(C4="","",IF(C4="Core",300,IF(C4="Pro",425,IF(C4="Full Desk",550,""))))</f>
        <v/>
      </c>
      <c r="E4" s="4" t="n">
        <v>3</v>
      </c>
      <c r="F4" s="4" t="inlineStr">
        <is>
          <t>Yes</t>
        </is>
      </c>
      <c r="G4" s="4" t="inlineStr">
        <is>
          <t>No</t>
        </is>
      </c>
      <c r="H4" s="16">
        <f>IF(D4="","",IF(F4="Yes",0,IF(G4="Yes",0,IF(E4=0,0,D4))))</f>
        <v/>
      </c>
      <c r="I4" s="4" t="inlineStr">
        <is>
          <t>First week free</t>
        </is>
      </c>
      <c r="J4" s="4" t="inlineStr">
        <is>
          <t>No</t>
        </is>
      </c>
      <c r="K4" s="4" t="inlineStr">
        <is>
          <t>No</t>
        </is>
      </c>
    </row>
    <row r="5">
      <c r="A5" s="9" t="n"/>
      <c r="B5" s="8" t="n"/>
      <c r="C5" s="8" t="n"/>
      <c r="D5" s="17">
        <f>IF(C5="","",IF(C5="Core",300,IF(C5="Pro",425,IF(C5="Full Desk",550,""))))</f>
        <v/>
      </c>
      <c r="E5" s="8" t="n"/>
      <c r="F5" s="8" t="n"/>
      <c r="G5" s="8" t="n"/>
      <c r="H5" s="17">
        <f>IF(D5="","",IF(F5="Yes",0,IF(G5="Yes",0,IF(E5=0,0,D5))))</f>
        <v/>
      </c>
      <c r="I5" s="8" t="n"/>
      <c r="J5" s="8" t="n"/>
      <c r="K5" s="8" t="n"/>
    </row>
    <row r="6">
      <c r="A6" s="9" t="n"/>
      <c r="B6" s="8" t="n"/>
      <c r="C6" s="8" t="n"/>
      <c r="D6" s="17">
        <f>IF(C6="","",IF(C6="Core",300,IF(C6="Pro",425,IF(C6="Full Desk",550,""))))</f>
        <v/>
      </c>
      <c r="E6" s="8" t="n"/>
      <c r="F6" s="8" t="n"/>
      <c r="G6" s="8" t="n"/>
      <c r="H6" s="17">
        <f>IF(D6="","",IF(F6="Yes",0,IF(G6="Yes",0,IF(E6=0,0,D6))))</f>
        <v/>
      </c>
      <c r="I6" s="8" t="n"/>
      <c r="J6" s="8" t="n"/>
      <c r="K6" s="8" t="n"/>
    </row>
    <row r="7">
      <c r="A7" s="9" t="n"/>
      <c r="B7" s="8" t="n"/>
      <c r="C7" s="8" t="n"/>
      <c r="D7" s="17">
        <f>IF(C7="","",IF(C7="Core",300,IF(C7="Pro",425,IF(C7="Full Desk",550,""))))</f>
        <v/>
      </c>
      <c r="E7" s="8" t="n"/>
      <c r="F7" s="8" t="n"/>
      <c r="G7" s="8" t="n"/>
      <c r="H7" s="17">
        <f>IF(D7="","",IF(F7="Yes",0,IF(G7="Yes",0,IF(E7=0,0,D7))))</f>
        <v/>
      </c>
      <c r="I7" s="8" t="n"/>
      <c r="J7" s="8" t="n"/>
      <c r="K7" s="8" t="n"/>
    </row>
    <row r="8">
      <c r="A8" s="9" t="n"/>
      <c r="B8" s="8" t="n"/>
      <c r="C8" s="8" t="n"/>
      <c r="D8" s="17">
        <f>IF(C8="","",IF(C8="Core",300,IF(C8="Pro",425,IF(C8="Full Desk",550,""))))</f>
        <v/>
      </c>
      <c r="E8" s="8" t="n"/>
      <c r="F8" s="8" t="n"/>
      <c r="G8" s="8" t="n"/>
      <c r="H8" s="17">
        <f>IF(D8="","",IF(F8="Yes",0,IF(G8="Yes",0,IF(E8=0,0,D8))))</f>
        <v/>
      </c>
      <c r="I8" s="8" t="n"/>
      <c r="J8" s="8" t="n"/>
      <c r="K8" s="8" t="n"/>
    </row>
    <row r="9">
      <c r="A9" s="9" t="n"/>
      <c r="B9" s="8" t="n"/>
      <c r="C9" s="8" t="n"/>
      <c r="D9" s="17">
        <f>IF(C9="","",IF(C9="Core",300,IF(C9="Pro",425,IF(C9="Full Desk",550,""))))</f>
        <v/>
      </c>
      <c r="E9" s="8" t="n"/>
      <c r="F9" s="8" t="n"/>
      <c r="G9" s="8" t="n"/>
      <c r="H9" s="17">
        <f>IF(D9="","",IF(F9="Yes",0,IF(G9="Yes",0,IF(E9=0,0,D9))))</f>
        <v/>
      </c>
      <c r="I9" s="8" t="n"/>
      <c r="J9" s="8" t="n"/>
      <c r="K9" s="8" t="n"/>
    </row>
    <row r="10">
      <c r="A10" s="9" t="n"/>
      <c r="B10" s="8" t="n"/>
      <c r="C10" s="8" t="n"/>
      <c r="D10" s="17">
        <f>IF(C10="","",IF(C10="Core",300,IF(C10="Pro",425,IF(C10="Full Desk",550,""))))</f>
        <v/>
      </c>
      <c r="E10" s="8" t="n"/>
      <c r="F10" s="8" t="n"/>
      <c r="G10" s="8" t="n"/>
      <c r="H10" s="17">
        <f>IF(D10="","",IF(F10="Yes",0,IF(G10="Yes",0,IF(E10=0,0,D10))))</f>
        <v/>
      </c>
      <c r="I10" s="8" t="n"/>
      <c r="J10" s="8" t="n"/>
      <c r="K10" s="8" t="n"/>
    </row>
    <row r="11">
      <c r="A11" s="9" t="n"/>
      <c r="B11" s="8" t="n"/>
      <c r="C11" s="8" t="n"/>
      <c r="D11" s="17">
        <f>IF(C11="","",IF(C11="Core",300,IF(C11="Pro",425,IF(C11="Full Desk",550,""))))</f>
        <v/>
      </c>
      <c r="E11" s="8" t="n"/>
      <c r="F11" s="8" t="n"/>
      <c r="G11" s="8" t="n"/>
      <c r="H11" s="17">
        <f>IF(D11="","",IF(F11="Yes",0,IF(G11="Yes",0,IF(E11=0,0,D11))))</f>
        <v/>
      </c>
      <c r="I11" s="8" t="n"/>
      <c r="J11" s="8" t="n"/>
      <c r="K11" s="8" t="n"/>
    </row>
    <row r="12">
      <c r="A12" s="9" t="n"/>
      <c r="B12" s="8" t="n"/>
      <c r="C12" s="8" t="n"/>
      <c r="D12" s="17">
        <f>IF(C12="","",IF(C12="Core",300,IF(C12="Pro",425,IF(C12="Full Desk",550,""))))</f>
        <v/>
      </c>
      <c r="E12" s="8" t="n"/>
      <c r="F12" s="8" t="n"/>
      <c r="G12" s="8" t="n"/>
      <c r="H12" s="17">
        <f>IF(D12="","",IF(F12="Yes",0,IF(G12="Yes",0,IF(E12=0,0,D12))))</f>
        <v/>
      </c>
      <c r="I12" s="8" t="n"/>
      <c r="J12" s="8" t="n"/>
      <c r="K12" s="8" t="n"/>
    </row>
    <row r="13">
      <c r="A13" s="9" t="n"/>
      <c r="B13" s="8" t="n"/>
      <c r="C13" s="8" t="n"/>
      <c r="D13" s="17">
        <f>IF(C13="","",IF(C13="Core",300,IF(C13="Pro",425,IF(C13="Full Desk",550,""))))</f>
        <v/>
      </c>
      <c r="E13" s="8" t="n"/>
      <c r="F13" s="8" t="n"/>
      <c r="G13" s="8" t="n"/>
      <c r="H13" s="17">
        <f>IF(D13="","",IF(F13="Yes",0,IF(G13="Yes",0,IF(E13=0,0,D13))))</f>
        <v/>
      </c>
      <c r="I13" s="8" t="n"/>
      <c r="J13" s="8" t="n"/>
      <c r="K13" s="8" t="n"/>
    </row>
    <row r="14">
      <c r="A14" s="9" t="n"/>
      <c r="B14" s="8" t="n"/>
      <c r="C14" s="8" t="n"/>
      <c r="D14" s="17">
        <f>IF(C14="","",IF(C14="Core",300,IF(C14="Pro",425,IF(C14="Full Desk",550,""))))</f>
        <v/>
      </c>
      <c r="E14" s="8" t="n"/>
      <c r="F14" s="8" t="n"/>
      <c r="G14" s="8" t="n"/>
      <c r="H14" s="17">
        <f>IF(D14="","",IF(F14="Yes",0,IF(G14="Yes",0,IF(E14=0,0,D14))))</f>
        <v/>
      </c>
      <c r="I14" s="8" t="n"/>
      <c r="J14" s="8" t="n"/>
      <c r="K14" s="8" t="n"/>
    </row>
    <row r="15">
      <c r="A15" s="9" t="n"/>
      <c r="B15" s="8" t="n"/>
      <c r="C15" s="8" t="n"/>
      <c r="D15" s="17">
        <f>IF(C15="","",IF(C15="Core",300,IF(C15="Pro",425,IF(C15="Full Desk",550,""))))</f>
        <v/>
      </c>
      <c r="E15" s="8" t="n"/>
      <c r="F15" s="8" t="n"/>
      <c r="G15" s="8" t="n"/>
      <c r="H15" s="17">
        <f>IF(D15="","",IF(F15="Yes",0,IF(G15="Yes",0,IF(E15=0,0,D15))))</f>
        <v/>
      </c>
      <c r="I15" s="8" t="n"/>
      <c r="J15" s="8" t="n"/>
      <c r="K15" s="8" t="n"/>
    </row>
    <row r="16">
      <c r="A16" s="9" t="n"/>
      <c r="B16" s="8" t="n"/>
      <c r="C16" s="8" t="n"/>
      <c r="D16" s="17">
        <f>IF(C16="","",IF(C16="Core",300,IF(C16="Pro",425,IF(C16="Full Desk",550,""))))</f>
        <v/>
      </c>
      <c r="E16" s="8" t="n"/>
      <c r="F16" s="8" t="n"/>
      <c r="G16" s="8" t="n"/>
      <c r="H16" s="17">
        <f>IF(D16="","",IF(F16="Yes",0,IF(G16="Yes",0,IF(E16=0,0,D16))))</f>
        <v/>
      </c>
      <c r="I16" s="8" t="n"/>
      <c r="J16" s="8" t="n"/>
      <c r="K16" s="8" t="n"/>
    </row>
    <row r="17">
      <c r="A17" s="9" t="n"/>
      <c r="B17" s="8" t="n"/>
      <c r="C17" s="8" t="n"/>
      <c r="D17" s="17">
        <f>IF(C17="","",IF(C17="Core",300,IF(C17="Pro",425,IF(C17="Full Desk",550,""))))</f>
        <v/>
      </c>
      <c r="E17" s="8" t="n"/>
      <c r="F17" s="8" t="n"/>
      <c r="G17" s="8" t="n"/>
      <c r="H17" s="17">
        <f>IF(D17="","",IF(F17="Yes",0,IF(G17="Yes",0,IF(E17=0,0,D17))))</f>
        <v/>
      </c>
      <c r="I17" s="8" t="n"/>
      <c r="J17" s="8" t="n"/>
      <c r="K17" s="8" t="n"/>
    </row>
    <row r="18">
      <c r="A18" s="9" t="n"/>
      <c r="B18" s="8" t="n"/>
      <c r="C18" s="8" t="n"/>
      <c r="D18" s="17">
        <f>IF(C18="","",IF(C18="Core",300,IF(C18="Pro",425,IF(C18="Full Desk",550,""))))</f>
        <v/>
      </c>
      <c r="E18" s="8" t="n"/>
      <c r="F18" s="8" t="n"/>
      <c r="G18" s="8" t="n"/>
      <c r="H18" s="17">
        <f>IF(D18="","",IF(F18="Yes",0,IF(G18="Yes",0,IF(E18=0,0,D18))))</f>
        <v/>
      </c>
      <c r="I18" s="8" t="n"/>
      <c r="J18" s="8" t="n"/>
      <c r="K18" s="8" t="n"/>
    </row>
    <row r="19">
      <c r="A19" s="9" t="n"/>
      <c r="B19" s="8" t="n"/>
      <c r="C19" s="8" t="n"/>
      <c r="D19" s="17">
        <f>IF(C19="","",IF(C19="Core",300,IF(C19="Pro",425,IF(C19="Full Desk",550,""))))</f>
        <v/>
      </c>
      <c r="E19" s="8" t="n"/>
      <c r="F19" s="8" t="n"/>
      <c r="G19" s="8" t="n"/>
      <c r="H19" s="17">
        <f>IF(D19="","",IF(F19="Yes",0,IF(G19="Yes",0,IF(E19=0,0,D19))))</f>
        <v/>
      </c>
      <c r="I19" s="8" t="n"/>
      <c r="J19" s="8" t="n"/>
      <c r="K19" s="8" t="n"/>
    </row>
    <row r="20">
      <c r="A20" s="9" t="n"/>
      <c r="B20" s="8" t="n"/>
      <c r="C20" s="8" t="n"/>
      <c r="D20" s="17">
        <f>IF(C20="","",IF(C20="Core",300,IF(C20="Pro",425,IF(C20="Full Desk",550,""))))</f>
        <v/>
      </c>
      <c r="E20" s="8" t="n"/>
      <c r="F20" s="8" t="n"/>
      <c r="G20" s="8" t="n"/>
      <c r="H20" s="17">
        <f>IF(D20="","",IF(F20="Yes",0,IF(G20="Yes",0,IF(E20=0,0,D20))))</f>
        <v/>
      </c>
      <c r="I20" s="8" t="n"/>
      <c r="J20" s="8" t="n"/>
      <c r="K20" s="8" t="n"/>
    </row>
    <row r="21">
      <c r="A21" s="9" t="n"/>
      <c r="B21" s="8" t="n"/>
      <c r="C21" s="8" t="n"/>
      <c r="D21" s="17">
        <f>IF(C21="","",IF(C21="Core",300,IF(C21="Pro",425,IF(C21="Full Desk",550,""))))</f>
        <v/>
      </c>
      <c r="E21" s="8" t="n"/>
      <c r="F21" s="8" t="n"/>
      <c r="G21" s="8" t="n"/>
      <c r="H21" s="17">
        <f>IF(D21="","",IF(F21="Yes",0,IF(G21="Yes",0,IF(E21=0,0,D21))))</f>
        <v/>
      </c>
      <c r="I21" s="8" t="n"/>
      <c r="J21" s="8" t="n"/>
      <c r="K21" s="8" t="n"/>
    </row>
    <row r="22">
      <c r="A22" s="9" t="n"/>
      <c r="B22" s="8" t="n"/>
      <c r="C22" s="8" t="n"/>
      <c r="D22" s="17">
        <f>IF(C22="","",IF(C22="Core",300,IF(C22="Pro",425,IF(C22="Full Desk",550,""))))</f>
        <v/>
      </c>
      <c r="E22" s="8" t="n"/>
      <c r="F22" s="8" t="n"/>
      <c r="G22" s="8" t="n"/>
      <c r="H22" s="17">
        <f>IF(D22="","",IF(F22="Yes",0,IF(G22="Yes",0,IF(E22=0,0,D22))))</f>
        <v/>
      </c>
      <c r="I22" s="8" t="n"/>
      <c r="J22" s="8" t="n"/>
      <c r="K22" s="8" t="n"/>
    </row>
    <row r="23">
      <c r="A23" s="9" t="n"/>
      <c r="B23" s="8" t="n"/>
      <c r="C23" s="8" t="n"/>
      <c r="D23" s="17">
        <f>IF(C23="","",IF(C23="Core",300,IF(C23="Pro",425,IF(C23="Full Desk",550,""))))</f>
        <v/>
      </c>
      <c r="E23" s="8" t="n"/>
      <c r="F23" s="8" t="n"/>
      <c r="G23" s="8" t="n"/>
      <c r="H23" s="17">
        <f>IF(D23="","",IF(F23="Yes",0,IF(G23="Yes",0,IF(E23=0,0,D23))))</f>
        <v/>
      </c>
      <c r="I23" s="8" t="n"/>
      <c r="J23" s="8" t="n"/>
      <c r="K23" s="8" t="n"/>
    </row>
    <row r="24">
      <c r="A24" s="9" t="n"/>
      <c r="B24" s="8" t="n"/>
      <c r="C24" s="8" t="n"/>
      <c r="D24" s="17">
        <f>IF(C24="","",IF(C24="Core",300,IF(C24="Pro",425,IF(C24="Full Desk",550,""))))</f>
        <v/>
      </c>
      <c r="E24" s="8" t="n"/>
      <c r="F24" s="8" t="n"/>
      <c r="G24" s="8" t="n"/>
      <c r="H24" s="17">
        <f>IF(D24="","",IF(F24="Yes",0,IF(G24="Yes",0,IF(E24=0,0,D24))))</f>
        <v/>
      </c>
      <c r="I24" s="8" t="n"/>
      <c r="J24" s="8" t="n"/>
      <c r="K24" s="8" t="n"/>
    </row>
    <row r="25">
      <c r="A25" s="9" t="n"/>
      <c r="B25" s="8" t="n"/>
      <c r="C25" s="8" t="n"/>
      <c r="D25" s="17">
        <f>IF(C25="","",IF(C25="Core",300,IF(C25="Pro",425,IF(C25="Full Desk",550,""))))</f>
        <v/>
      </c>
      <c r="E25" s="8" t="n"/>
      <c r="F25" s="8" t="n"/>
      <c r="G25" s="8" t="n"/>
      <c r="H25" s="17">
        <f>IF(D25="","",IF(F25="Yes",0,IF(G25="Yes",0,IF(E25=0,0,D25))))</f>
        <v/>
      </c>
      <c r="I25" s="8" t="n"/>
      <c r="J25" s="8" t="n"/>
      <c r="K25" s="8" t="n"/>
    </row>
    <row r="26">
      <c r="A26" s="9" t="n"/>
      <c r="B26" s="8" t="n"/>
      <c r="C26" s="8" t="n"/>
      <c r="D26" s="17">
        <f>IF(C26="","",IF(C26="Core",300,IF(C26="Pro",425,IF(C26="Full Desk",550,""))))</f>
        <v/>
      </c>
      <c r="E26" s="8" t="n"/>
      <c r="F26" s="8" t="n"/>
      <c r="G26" s="8" t="n"/>
      <c r="H26" s="17">
        <f>IF(D26="","",IF(F26="Yes",0,IF(G26="Yes",0,IF(E26=0,0,D26))))</f>
        <v/>
      </c>
      <c r="I26" s="8" t="n"/>
      <c r="J26" s="8" t="n"/>
      <c r="K26" s="8" t="n"/>
    </row>
    <row r="27">
      <c r="A27" s="9" t="n"/>
      <c r="B27" s="8" t="n"/>
      <c r="C27" s="8" t="n"/>
      <c r="D27" s="17">
        <f>IF(C27="","",IF(C27="Core",300,IF(C27="Pro",425,IF(C27="Full Desk",550,""))))</f>
        <v/>
      </c>
      <c r="E27" s="8" t="n"/>
      <c r="F27" s="8" t="n"/>
      <c r="G27" s="8" t="n"/>
      <c r="H27" s="17">
        <f>IF(D27="","",IF(F27="Yes",0,IF(G27="Yes",0,IF(E27=0,0,D27))))</f>
        <v/>
      </c>
      <c r="I27" s="8" t="n"/>
      <c r="J27" s="8" t="n"/>
      <c r="K27" s="8" t="n"/>
    </row>
    <row r="28">
      <c r="A28" s="9" t="n"/>
      <c r="B28" s="8" t="n"/>
      <c r="C28" s="8" t="n"/>
      <c r="D28" s="17">
        <f>IF(C28="","",IF(C28="Core",300,IF(C28="Pro",425,IF(C28="Full Desk",550,""))))</f>
        <v/>
      </c>
      <c r="E28" s="8" t="n"/>
      <c r="F28" s="8" t="n"/>
      <c r="G28" s="8" t="n"/>
      <c r="H28" s="17">
        <f>IF(D28="","",IF(F28="Yes",0,IF(G28="Yes",0,IF(E28=0,0,D28))))</f>
        <v/>
      </c>
      <c r="I28" s="8" t="n"/>
      <c r="J28" s="8" t="n"/>
      <c r="K28" s="8" t="n"/>
    </row>
    <row r="29">
      <c r="A29" s="9" t="n"/>
      <c r="B29" s="8" t="n"/>
      <c r="C29" s="8" t="n"/>
      <c r="D29" s="17">
        <f>IF(C29="","",IF(C29="Core",300,IF(C29="Pro",425,IF(C29="Full Desk",550,""))))</f>
        <v/>
      </c>
      <c r="E29" s="8" t="n"/>
      <c r="F29" s="8" t="n"/>
      <c r="G29" s="8" t="n"/>
      <c r="H29" s="17">
        <f>IF(D29="","",IF(F29="Yes",0,IF(G29="Yes",0,IF(E29=0,0,D29))))</f>
        <v/>
      </c>
      <c r="I29" s="8" t="n"/>
      <c r="J29" s="8" t="n"/>
      <c r="K29" s="8" t="n"/>
    </row>
    <row r="30">
      <c r="A30" s="9" t="n"/>
      <c r="B30" s="8" t="n"/>
      <c r="C30" s="8" t="n"/>
      <c r="D30" s="17">
        <f>IF(C30="","",IF(C30="Core",300,IF(C30="Pro",425,IF(C30="Full Desk",550,""))))</f>
        <v/>
      </c>
      <c r="E30" s="8" t="n"/>
      <c r="F30" s="8" t="n"/>
      <c r="G30" s="8" t="n"/>
      <c r="H30" s="17">
        <f>IF(D30="","",IF(F30="Yes",0,IF(G30="Yes",0,IF(E30=0,0,D30))))</f>
        <v/>
      </c>
      <c r="I30" s="8" t="n"/>
      <c r="J30" s="8" t="n"/>
      <c r="K30" s="8" t="n"/>
    </row>
    <row r="31">
      <c r="A31" s="9" t="n"/>
      <c r="B31" s="8" t="n"/>
      <c r="C31" s="8" t="n"/>
      <c r="D31" s="17">
        <f>IF(C31="","",IF(C31="Core",300,IF(C31="Pro",425,IF(C31="Full Desk",550,""))))</f>
        <v/>
      </c>
      <c r="E31" s="8" t="n"/>
      <c r="F31" s="8" t="n"/>
      <c r="G31" s="8" t="n"/>
      <c r="H31" s="17">
        <f>IF(D31="","",IF(F31="Yes",0,IF(G31="Yes",0,IF(E31=0,0,D31))))</f>
        <v/>
      </c>
      <c r="I31" s="8" t="n"/>
      <c r="J31" s="8" t="n"/>
      <c r="K31" s="8" t="n"/>
    </row>
    <row r="32">
      <c r="A32" s="9" t="n"/>
      <c r="B32" s="8" t="n"/>
      <c r="C32" s="8" t="n"/>
      <c r="D32" s="17">
        <f>IF(C32="","",IF(C32="Core",300,IF(C32="Pro",425,IF(C32="Full Desk",550,""))))</f>
        <v/>
      </c>
      <c r="E32" s="8" t="n"/>
      <c r="F32" s="8" t="n"/>
      <c r="G32" s="8" t="n"/>
      <c r="H32" s="17">
        <f>IF(D32="","",IF(F32="Yes",0,IF(G32="Yes",0,IF(E32=0,0,D32))))</f>
        <v/>
      </c>
      <c r="I32" s="8" t="n"/>
      <c r="J32" s="8" t="n"/>
      <c r="K32" s="8" t="n"/>
    </row>
    <row r="33">
      <c r="A33" s="9" t="n"/>
      <c r="B33" s="8" t="n"/>
      <c r="C33" s="8" t="n"/>
      <c r="D33" s="17">
        <f>IF(C33="","",IF(C33="Core",300,IF(C33="Pro",425,IF(C33="Full Desk",550,""))))</f>
        <v/>
      </c>
      <c r="E33" s="8" t="n"/>
      <c r="F33" s="8" t="n"/>
      <c r="G33" s="8" t="n"/>
      <c r="H33" s="17">
        <f>IF(D33="","",IF(F33="Yes",0,IF(G33="Yes",0,IF(E33=0,0,D33))))</f>
        <v/>
      </c>
      <c r="I33" s="8" t="n"/>
      <c r="J33" s="8" t="n"/>
      <c r="K33" s="8" t="n"/>
    </row>
    <row r="34">
      <c r="A34" s="9" t="n"/>
      <c r="B34" s="8" t="n"/>
      <c r="C34" s="8" t="n"/>
      <c r="D34" s="17">
        <f>IF(C34="","",IF(C34="Core",300,IF(C34="Pro",425,IF(C34="Full Desk",550,""))))</f>
        <v/>
      </c>
      <c r="E34" s="8" t="n"/>
      <c r="F34" s="8" t="n"/>
      <c r="G34" s="8" t="n"/>
      <c r="H34" s="17">
        <f>IF(D34="","",IF(F34="Yes",0,IF(G34="Yes",0,IF(E34=0,0,D34))))</f>
        <v/>
      </c>
      <c r="I34" s="8" t="n"/>
      <c r="J34" s="8" t="n"/>
      <c r="K34" s="8" t="n"/>
    </row>
    <row r="35">
      <c r="A35" s="9" t="n"/>
      <c r="B35" s="8" t="n"/>
      <c r="C35" s="8" t="n"/>
      <c r="D35" s="17">
        <f>IF(C35="","",IF(C35="Core",300,IF(C35="Pro",425,IF(C35="Full Desk",550,""))))</f>
        <v/>
      </c>
      <c r="E35" s="8" t="n"/>
      <c r="F35" s="8" t="n"/>
      <c r="G35" s="8" t="n"/>
      <c r="H35" s="17">
        <f>IF(D35="","",IF(F35="Yes",0,IF(G35="Yes",0,IF(E35=0,0,D35))))</f>
        <v/>
      </c>
      <c r="I35" s="8" t="n"/>
      <c r="J35" s="8" t="n"/>
      <c r="K35" s="8" t="n"/>
    </row>
    <row r="36">
      <c r="A36" s="9" t="n"/>
      <c r="B36" s="8" t="n"/>
      <c r="C36" s="8" t="n"/>
      <c r="D36" s="17">
        <f>IF(C36="","",IF(C36="Core",300,IF(C36="Pro",425,IF(C36="Full Desk",550,""))))</f>
        <v/>
      </c>
      <c r="E36" s="8" t="n"/>
      <c r="F36" s="8" t="n"/>
      <c r="G36" s="8" t="n"/>
      <c r="H36" s="17">
        <f>IF(D36="","",IF(F36="Yes",0,IF(G36="Yes",0,IF(E36=0,0,D36))))</f>
        <v/>
      </c>
      <c r="I36" s="8" t="n"/>
      <c r="J36" s="8" t="n"/>
      <c r="K36" s="8" t="n"/>
    </row>
    <row r="37">
      <c r="A37" s="9" t="n"/>
      <c r="B37" s="8" t="n"/>
      <c r="C37" s="8" t="n"/>
      <c r="D37" s="17">
        <f>IF(C37="","",IF(C37="Core",300,IF(C37="Pro",425,IF(C37="Full Desk",550,""))))</f>
        <v/>
      </c>
      <c r="E37" s="8" t="n"/>
      <c r="F37" s="8" t="n"/>
      <c r="G37" s="8" t="n"/>
      <c r="H37" s="17">
        <f>IF(D37="","",IF(F37="Yes",0,IF(G37="Yes",0,IF(E37=0,0,D37))))</f>
        <v/>
      </c>
      <c r="I37" s="8" t="n"/>
      <c r="J37" s="8" t="n"/>
      <c r="K37" s="8" t="n"/>
    </row>
    <row r="38">
      <c r="A38" s="9" t="n"/>
      <c r="B38" s="8" t="n"/>
      <c r="C38" s="8" t="n"/>
      <c r="D38" s="17">
        <f>IF(C38="","",IF(C38="Core",300,IF(C38="Pro",425,IF(C38="Full Desk",550,""))))</f>
        <v/>
      </c>
      <c r="E38" s="8" t="n"/>
      <c r="F38" s="8" t="n"/>
      <c r="G38" s="8" t="n"/>
      <c r="H38" s="17">
        <f>IF(D38="","",IF(F38="Yes",0,IF(G38="Yes",0,IF(E38=0,0,D38))))</f>
        <v/>
      </c>
      <c r="I38" s="8" t="n"/>
      <c r="J38" s="8" t="n"/>
      <c r="K38" s="8" t="n"/>
    </row>
    <row r="39">
      <c r="A39" s="9" t="n"/>
      <c r="B39" s="8" t="n"/>
      <c r="C39" s="8" t="n"/>
      <c r="D39" s="17">
        <f>IF(C39="","",IF(C39="Core",300,IF(C39="Pro",425,IF(C39="Full Desk",550,""))))</f>
        <v/>
      </c>
      <c r="E39" s="8" t="n"/>
      <c r="F39" s="8" t="n"/>
      <c r="G39" s="8" t="n"/>
      <c r="H39" s="17">
        <f>IF(D39="","",IF(F39="Yes",0,IF(G39="Yes",0,IF(E39=0,0,D39))))</f>
        <v/>
      </c>
      <c r="I39" s="8" t="n"/>
      <c r="J39" s="8" t="n"/>
      <c r="K39" s="8" t="n"/>
    </row>
    <row r="40">
      <c r="A40" s="9" t="n"/>
      <c r="B40" s="8" t="n"/>
      <c r="C40" s="8" t="n"/>
      <c r="D40" s="17">
        <f>IF(C40="","",IF(C40="Core",300,IF(C40="Pro",425,IF(C40="Full Desk",550,""))))</f>
        <v/>
      </c>
      <c r="E40" s="8" t="n"/>
      <c r="F40" s="8" t="n"/>
      <c r="G40" s="8" t="n"/>
      <c r="H40" s="17">
        <f>IF(D40="","",IF(F40="Yes",0,IF(G40="Yes",0,IF(E40=0,0,D40))))</f>
        <v/>
      </c>
      <c r="I40" s="8" t="n"/>
      <c r="J40" s="8" t="n"/>
      <c r="K40" s="8" t="n"/>
    </row>
    <row r="41">
      <c r="A41" s="9" t="n"/>
      <c r="B41" s="8" t="n"/>
      <c r="C41" s="8" t="n"/>
      <c r="D41" s="17">
        <f>IF(C41="","",IF(C41="Core",300,IF(C41="Pro",425,IF(C41="Full Desk",550,""))))</f>
        <v/>
      </c>
      <c r="E41" s="8" t="n"/>
      <c r="F41" s="8" t="n"/>
      <c r="G41" s="8" t="n"/>
      <c r="H41" s="17">
        <f>IF(D41="","",IF(F41="Yes",0,IF(G41="Yes",0,IF(E41=0,0,D41))))</f>
        <v/>
      </c>
      <c r="I41" s="8" t="n"/>
      <c r="J41" s="8" t="n"/>
      <c r="K41" s="8" t="n"/>
    </row>
    <row r="42">
      <c r="A42" s="9" t="n"/>
      <c r="B42" s="8" t="n"/>
      <c r="C42" s="8" t="n"/>
      <c r="D42" s="17">
        <f>IF(C42="","",IF(C42="Core",300,IF(C42="Pro",425,IF(C42="Full Desk",550,""))))</f>
        <v/>
      </c>
      <c r="E42" s="8" t="n"/>
      <c r="F42" s="8" t="n"/>
      <c r="G42" s="8" t="n"/>
      <c r="H42" s="17">
        <f>IF(D42="","",IF(F42="Yes",0,IF(G42="Yes",0,IF(E42=0,0,D42))))</f>
        <v/>
      </c>
      <c r="I42" s="8" t="n"/>
      <c r="J42" s="8" t="n"/>
      <c r="K42" s="8" t="n"/>
    </row>
    <row r="43">
      <c r="A43" s="9" t="n"/>
      <c r="B43" s="8" t="n"/>
      <c r="C43" s="8" t="n"/>
      <c r="D43" s="17">
        <f>IF(C43="","",IF(C43="Core",300,IF(C43="Pro",425,IF(C43="Full Desk",550,""))))</f>
        <v/>
      </c>
      <c r="E43" s="8" t="n"/>
      <c r="F43" s="8" t="n"/>
      <c r="G43" s="8" t="n"/>
      <c r="H43" s="17">
        <f>IF(D43="","",IF(F43="Yes",0,IF(G43="Yes",0,IF(E43=0,0,D43))))</f>
        <v/>
      </c>
      <c r="I43" s="8" t="n"/>
      <c r="J43" s="8" t="n"/>
      <c r="K43" s="8" t="n"/>
    </row>
    <row r="44">
      <c r="A44" s="9" t="n"/>
      <c r="B44" s="8" t="n"/>
      <c r="C44" s="8" t="n"/>
      <c r="D44" s="17">
        <f>IF(C44="","",IF(C44="Core",300,IF(C44="Pro",425,IF(C44="Full Desk",550,""))))</f>
        <v/>
      </c>
      <c r="E44" s="8" t="n"/>
      <c r="F44" s="8" t="n"/>
      <c r="G44" s="8" t="n"/>
      <c r="H44" s="17">
        <f>IF(D44="","",IF(F44="Yes",0,IF(G44="Yes",0,IF(E44=0,0,D44))))</f>
        <v/>
      </c>
      <c r="I44" s="8" t="n"/>
      <c r="J44" s="8" t="n"/>
      <c r="K44" s="8" t="n"/>
    </row>
    <row r="45">
      <c r="A45" s="9" t="n"/>
      <c r="B45" s="8" t="n"/>
      <c r="C45" s="8" t="n"/>
      <c r="D45" s="17">
        <f>IF(C45="","",IF(C45="Core",300,IF(C45="Pro",425,IF(C45="Full Desk",550,""))))</f>
        <v/>
      </c>
      <c r="E45" s="8" t="n"/>
      <c r="F45" s="8" t="n"/>
      <c r="G45" s="8" t="n"/>
      <c r="H45" s="17">
        <f>IF(D45="","",IF(F45="Yes",0,IF(G45="Yes",0,IF(E45=0,0,D45))))</f>
        <v/>
      </c>
      <c r="I45" s="8" t="n"/>
      <c r="J45" s="8" t="n"/>
      <c r="K45" s="8" t="n"/>
    </row>
    <row r="46">
      <c r="A46" s="9" t="n"/>
      <c r="B46" s="8" t="n"/>
      <c r="C46" s="8" t="n"/>
      <c r="D46" s="17">
        <f>IF(C46="","",IF(C46="Core",300,IF(C46="Pro",425,IF(C46="Full Desk",550,""))))</f>
        <v/>
      </c>
      <c r="E46" s="8" t="n"/>
      <c r="F46" s="8" t="n"/>
      <c r="G46" s="8" t="n"/>
      <c r="H46" s="17">
        <f>IF(D46="","",IF(F46="Yes",0,IF(G46="Yes",0,IF(E46=0,0,D46))))</f>
        <v/>
      </c>
      <c r="I46" s="8" t="n"/>
      <c r="J46" s="8" t="n"/>
      <c r="K46" s="8" t="n"/>
    </row>
    <row r="47">
      <c r="A47" s="9" t="n"/>
      <c r="B47" s="8" t="n"/>
      <c r="C47" s="8" t="n"/>
      <c r="D47" s="17">
        <f>IF(C47="","",IF(C47="Core",300,IF(C47="Pro",425,IF(C47="Full Desk",550,""))))</f>
        <v/>
      </c>
      <c r="E47" s="8" t="n"/>
      <c r="F47" s="8" t="n"/>
      <c r="G47" s="8" t="n"/>
      <c r="H47" s="17">
        <f>IF(D47="","",IF(F47="Yes",0,IF(G47="Yes",0,IF(E47=0,0,D47))))</f>
        <v/>
      </c>
      <c r="I47" s="8" t="n"/>
      <c r="J47" s="8" t="n"/>
      <c r="K47" s="8" t="n"/>
    </row>
    <row r="48">
      <c r="A48" s="9" t="n"/>
      <c r="B48" s="8" t="n"/>
      <c r="C48" s="8" t="n"/>
      <c r="D48" s="17">
        <f>IF(C48="","",IF(C48="Core",300,IF(C48="Pro",425,IF(C48="Full Desk",550,""))))</f>
        <v/>
      </c>
      <c r="E48" s="8" t="n"/>
      <c r="F48" s="8" t="n"/>
      <c r="G48" s="8" t="n"/>
      <c r="H48" s="17">
        <f>IF(D48="","",IF(F48="Yes",0,IF(G48="Yes",0,IF(E48=0,0,D48))))</f>
        <v/>
      </c>
      <c r="I48" s="8" t="n"/>
      <c r="J48" s="8" t="n"/>
      <c r="K48" s="8" t="n"/>
    </row>
    <row r="49">
      <c r="A49" s="9" t="n"/>
      <c r="B49" s="8" t="n"/>
      <c r="C49" s="8" t="n"/>
      <c r="D49" s="17">
        <f>IF(C49="","",IF(C49="Core",300,IF(C49="Pro",425,IF(C49="Full Desk",550,""))))</f>
        <v/>
      </c>
      <c r="E49" s="8" t="n"/>
      <c r="F49" s="8" t="n"/>
      <c r="G49" s="8" t="n"/>
      <c r="H49" s="17">
        <f>IF(D49="","",IF(F49="Yes",0,IF(G49="Yes",0,IF(E49=0,0,D49))))</f>
        <v/>
      </c>
      <c r="I49" s="8" t="n"/>
      <c r="J49" s="8" t="n"/>
      <c r="K49" s="8" t="n"/>
    </row>
    <row r="50">
      <c r="A50" s="9" t="n"/>
      <c r="B50" s="8" t="n"/>
      <c r="C50" s="8" t="n"/>
      <c r="D50" s="17">
        <f>IF(C50="","",IF(C50="Core",300,IF(C50="Pro",425,IF(C50="Full Desk",550,""))))</f>
        <v/>
      </c>
      <c r="E50" s="8" t="n"/>
      <c r="F50" s="8" t="n"/>
      <c r="G50" s="8" t="n"/>
      <c r="H50" s="17">
        <f>IF(D50="","",IF(F50="Yes",0,IF(G50="Yes",0,IF(E50=0,0,D50))))</f>
        <v/>
      </c>
      <c r="I50" s="8" t="n"/>
      <c r="J50" s="8" t="n"/>
      <c r="K50" s="8" t="n"/>
    </row>
    <row r="51">
      <c r="A51" s="9" t="n"/>
      <c r="B51" s="8" t="n"/>
      <c r="C51" s="8" t="n"/>
      <c r="D51" s="17">
        <f>IF(C51="","",IF(C51="Core",300,IF(C51="Pro",425,IF(C51="Full Desk",550,""))))</f>
        <v/>
      </c>
      <c r="E51" s="8" t="n"/>
      <c r="F51" s="8" t="n"/>
      <c r="G51" s="8" t="n"/>
      <c r="H51" s="17">
        <f>IF(D51="","",IF(F51="Yes",0,IF(G51="Yes",0,IF(E51=0,0,D51))))</f>
        <v/>
      </c>
      <c r="I51" s="8" t="n"/>
      <c r="J51" s="8" t="n"/>
      <c r="K51" s="8" t="n"/>
    </row>
    <row r="52">
      <c r="A52" s="9" t="n"/>
      <c r="B52" s="8" t="n"/>
      <c r="C52" s="8" t="n"/>
      <c r="D52" s="17">
        <f>IF(C52="","",IF(C52="Core",300,IF(C52="Pro",425,IF(C52="Full Desk",550,""))))</f>
        <v/>
      </c>
      <c r="E52" s="8" t="n"/>
      <c r="F52" s="8" t="n"/>
      <c r="G52" s="8" t="n"/>
      <c r="H52" s="17">
        <f>IF(D52="","",IF(F52="Yes",0,IF(G52="Yes",0,IF(E52=0,0,D52))))</f>
        <v/>
      </c>
      <c r="I52" s="8" t="n"/>
      <c r="J52" s="8" t="n"/>
      <c r="K52" s="8" t="n"/>
    </row>
    <row r="53">
      <c r="A53" s="9" t="n"/>
      <c r="B53" s="8" t="n"/>
      <c r="C53" s="8" t="n"/>
      <c r="D53" s="17">
        <f>IF(C53="","",IF(C53="Core",300,IF(C53="Pro",425,IF(C53="Full Desk",550,""))))</f>
        <v/>
      </c>
      <c r="E53" s="8" t="n"/>
      <c r="F53" s="8" t="n"/>
      <c r="G53" s="8" t="n"/>
      <c r="H53" s="17">
        <f>IF(D53="","",IF(F53="Yes",0,IF(G53="Yes",0,IF(E53=0,0,D53))))</f>
        <v/>
      </c>
      <c r="I53" s="8" t="n"/>
      <c r="J53" s="8" t="n"/>
      <c r="K53" s="8" t="n"/>
    </row>
    <row r="54">
      <c r="A54" s="9" t="n"/>
      <c r="B54" s="8" t="n"/>
      <c r="C54" s="8" t="n"/>
      <c r="D54" s="17">
        <f>IF(C54="","",IF(C54="Core",300,IF(C54="Pro",425,IF(C54="Full Desk",550,""))))</f>
        <v/>
      </c>
      <c r="E54" s="8" t="n"/>
      <c r="F54" s="8" t="n"/>
      <c r="G54" s="8" t="n"/>
      <c r="H54" s="17">
        <f>IF(D54="","",IF(F54="Yes",0,IF(G54="Yes",0,IF(E54=0,0,D54))))</f>
        <v/>
      </c>
      <c r="I54" s="8" t="n"/>
      <c r="J54" s="8" t="n"/>
      <c r="K54" s="8" t="n"/>
    </row>
    <row r="55">
      <c r="A55" s="9" t="n"/>
      <c r="B55" s="8" t="n"/>
      <c r="C55" s="8" t="n"/>
      <c r="D55" s="17">
        <f>IF(C55="","",IF(C55="Core",300,IF(C55="Pro",425,IF(C55="Full Desk",550,""))))</f>
        <v/>
      </c>
      <c r="E55" s="8" t="n"/>
      <c r="F55" s="8" t="n"/>
      <c r="G55" s="8" t="n"/>
      <c r="H55" s="17">
        <f>IF(D55="","",IF(F55="Yes",0,IF(G55="Yes",0,IF(E55=0,0,D55))))</f>
        <v/>
      </c>
      <c r="I55" s="8" t="n"/>
      <c r="J55" s="8" t="n"/>
      <c r="K55" s="8" t="n"/>
    </row>
    <row r="56">
      <c r="A56" s="9" t="n"/>
      <c r="B56" s="8" t="n"/>
      <c r="C56" s="8" t="n"/>
      <c r="D56" s="17">
        <f>IF(C56="","",IF(C56="Core",300,IF(C56="Pro",425,IF(C56="Full Desk",550,""))))</f>
        <v/>
      </c>
      <c r="E56" s="8" t="n"/>
      <c r="F56" s="8" t="n"/>
      <c r="G56" s="8" t="n"/>
      <c r="H56" s="17">
        <f>IF(D56="","",IF(F56="Yes",0,IF(G56="Yes",0,IF(E56=0,0,D56))))</f>
        <v/>
      </c>
      <c r="I56" s="8" t="n"/>
      <c r="J56" s="8" t="n"/>
      <c r="K56" s="8" t="n"/>
    </row>
    <row r="57">
      <c r="A57" s="9" t="n"/>
      <c r="B57" s="8" t="n"/>
      <c r="C57" s="8" t="n"/>
      <c r="D57" s="17">
        <f>IF(C57="","",IF(C57="Core",300,IF(C57="Pro",425,IF(C57="Full Desk",550,""))))</f>
        <v/>
      </c>
      <c r="E57" s="8" t="n"/>
      <c r="F57" s="8" t="n"/>
      <c r="G57" s="8" t="n"/>
      <c r="H57" s="17">
        <f>IF(D57="","",IF(F57="Yes",0,IF(G57="Yes",0,IF(E57=0,0,D57))))</f>
        <v/>
      </c>
      <c r="I57" s="8" t="n"/>
      <c r="J57" s="8" t="n"/>
      <c r="K57" s="8" t="n"/>
    </row>
    <row r="58">
      <c r="A58" s="9" t="n"/>
      <c r="B58" s="8" t="n"/>
      <c r="C58" s="8" t="n"/>
      <c r="D58" s="17">
        <f>IF(C58="","",IF(C58="Core",300,IF(C58="Pro",425,IF(C58="Full Desk",550,""))))</f>
        <v/>
      </c>
      <c r="E58" s="8" t="n"/>
      <c r="F58" s="8" t="n"/>
      <c r="G58" s="8" t="n"/>
      <c r="H58" s="17">
        <f>IF(D58="","",IF(F58="Yes",0,IF(G58="Yes",0,IF(E58=0,0,D58))))</f>
        <v/>
      </c>
      <c r="I58" s="8" t="n"/>
      <c r="J58" s="8" t="n"/>
      <c r="K58" s="8" t="n"/>
    </row>
    <row r="59">
      <c r="A59" s="9" t="n"/>
      <c r="B59" s="8" t="n"/>
      <c r="C59" s="8" t="n"/>
      <c r="D59" s="17">
        <f>IF(C59="","",IF(C59="Core",300,IF(C59="Pro",425,IF(C59="Full Desk",550,""))))</f>
        <v/>
      </c>
      <c r="E59" s="8" t="n"/>
      <c r="F59" s="8" t="n"/>
      <c r="G59" s="8" t="n"/>
      <c r="H59" s="17">
        <f>IF(D59="","",IF(F59="Yes",0,IF(G59="Yes",0,IF(E59=0,0,D59))))</f>
        <v/>
      </c>
      <c r="I59" s="8" t="n"/>
      <c r="J59" s="8" t="n"/>
      <c r="K59" s="8" t="n"/>
    </row>
    <row r="60">
      <c r="A60" s="9" t="n"/>
      <c r="B60" s="8" t="n"/>
      <c r="C60" s="8" t="n"/>
      <c r="D60" s="17">
        <f>IF(C60="","",IF(C60="Core",300,IF(C60="Pro",425,IF(C60="Full Desk",550,""))))</f>
        <v/>
      </c>
      <c r="E60" s="8" t="n"/>
      <c r="F60" s="8" t="n"/>
      <c r="G60" s="8" t="n"/>
      <c r="H60" s="17">
        <f>IF(D60="","",IF(F60="Yes",0,IF(G60="Yes",0,IF(E60=0,0,D60))))</f>
        <v/>
      </c>
      <c r="I60" s="8" t="n"/>
      <c r="J60" s="8" t="n"/>
      <c r="K60" s="8" t="n"/>
    </row>
    <row r="61">
      <c r="A61" s="9" t="n"/>
      <c r="B61" s="8" t="n"/>
      <c r="C61" s="8" t="n"/>
      <c r="D61" s="17">
        <f>IF(C61="","",IF(C61="Core",300,IF(C61="Pro",425,IF(C61="Full Desk",550,""))))</f>
        <v/>
      </c>
      <c r="E61" s="8" t="n"/>
      <c r="F61" s="8" t="n"/>
      <c r="G61" s="8" t="n"/>
      <c r="H61" s="17">
        <f>IF(D61="","",IF(F61="Yes",0,IF(G61="Yes",0,IF(E61=0,0,D61))))</f>
        <v/>
      </c>
      <c r="I61" s="8" t="n"/>
      <c r="J61" s="8" t="n"/>
      <c r="K61" s="8" t="n"/>
    </row>
    <row r="62">
      <c r="A62" s="9" t="n"/>
      <c r="B62" s="8" t="n"/>
      <c r="C62" s="8" t="n"/>
      <c r="D62" s="17">
        <f>IF(C62="","",IF(C62="Core",300,IF(C62="Pro",425,IF(C62="Full Desk",550,""))))</f>
        <v/>
      </c>
      <c r="E62" s="8" t="n"/>
      <c r="F62" s="8" t="n"/>
      <c r="G62" s="8" t="n"/>
      <c r="H62" s="17">
        <f>IF(D62="","",IF(F62="Yes",0,IF(G62="Yes",0,IF(E62=0,0,D62))))</f>
        <v/>
      </c>
      <c r="I62" s="8" t="n"/>
      <c r="J62" s="8" t="n"/>
      <c r="K62" s="8" t="n"/>
    </row>
    <row r="63">
      <c r="A63" s="9" t="n"/>
      <c r="B63" s="8" t="n"/>
      <c r="C63" s="8" t="n"/>
      <c r="D63" s="17">
        <f>IF(C63="","",IF(C63="Core",300,IF(C63="Pro",425,IF(C63="Full Desk",550,""))))</f>
        <v/>
      </c>
      <c r="E63" s="8" t="n"/>
      <c r="F63" s="8" t="n"/>
      <c r="G63" s="8" t="n"/>
      <c r="H63" s="17">
        <f>IF(D63="","",IF(F63="Yes",0,IF(G63="Yes",0,IF(E63=0,0,D63))))</f>
        <v/>
      </c>
      <c r="I63" s="8" t="n"/>
      <c r="J63" s="8" t="n"/>
      <c r="K63" s="8" t="n"/>
    </row>
    <row r="64">
      <c r="A64" s="9" t="n"/>
      <c r="B64" s="8" t="n"/>
      <c r="C64" s="8" t="n"/>
      <c r="D64" s="17">
        <f>IF(C64="","",IF(C64="Core",300,IF(C64="Pro",425,IF(C64="Full Desk",550,""))))</f>
        <v/>
      </c>
      <c r="E64" s="8" t="n"/>
      <c r="F64" s="8" t="n"/>
      <c r="G64" s="8" t="n"/>
      <c r="H64" s="17">
        <f>IF(D64="","",IF(F64="Yes",0,IF(G64="Yes",0,IF(E64=0,0,D64))))</f>
        <v/>
      </c>
      <c r="I64" s="8" t="n"/>
      <c r="J64" s="8" t="n"/>
      <c r="K64" s="8" t="n"/>
    </row>
    <row r="65">
      <c r="A65" s="9" t="n"/>
      <c r="B65" s="8" t="n"/>
      <c r="C65" s="8" t="n"/>
      <c r="D65" s="17">
        <f>IF(C65="","",IF(C65="Core",300,IF(C65="Pro",425,IF(C65="Full Desk",550,""))))</f>
        <v/>
      </c>
      <c r="E65" s="8" t="n"/>
      <c r="F65" s="8" t="n"/>
      <c r="G65" s="8" t="n"/>
      <c r="H65" s="17">
        <f>IF(D65="","",IF(F65="Yes",0,IF(G65="Yes",0,IF(E65=0,0,D65))))</f>
        <v/>
      </c>
      <c r="I65" s="8" t="n"/>
      <c r="J65" s="8" t="n"/>
      <c r="K65" s="8" t="n"/>
    </row>
    <row r="66">
      <c r="A66" s="9" t="n"/>
      <c r="B66" s="8" t="n"/>
      <c r="C66" s="8" t="n"/>
      <c r="D66" s="17">
        <f>IF(C66="","",IF(C66="Core",300,IF(C66="Pro",425,IF(C66="Full Desk",550,""))))</f>
        <v/>
      </c>
      <c r="E66" s="8" t="n"/>
      <c r="F66" s="8" t="n"/>
      <c r="G66" s="8" t="n"/>
      <c r="H66" s="17">
        <f>IF(D66="","",IF(F66="Yes",0,IF(G66="Yes",0,IF(E66=0,0,D66))))</f>
        <v/>
      </c>
      <c r="I66" s="8" t="n"/>
      <c r="J66" s="8" t="n"/>
      <c r="K66" s="8" t="n"/>
    </row>
    <row r="67">
      <c r="A67" s="9" t="n"/>
      <c r="B67" s="8" t="n"/>
      <c r="C67" s="8" t="n"/>
      <c r="D67" s="17">
        <f>IF(C67="","",IF(C67="Core",300,IF(C67="Pro",425,IF(C67="Full Desk",550,""))))</f>
        <v/>
      </c>
      <c r="E67" s="8" t="n"/>
      <c r="F67" s="8" t="n"/>
      <c r="G67" s="8" t="n"/>
      <c r="H67" s="17">
        <f>IF(D67="","",IF(F67="Yes",0,IF(G67="Yes",0,IF(E67=0,0,D67))))</f>
        <v/>
      </c>
      <c r="I67" s="8" t="n"/>
      <c r="J67" s="8" t="n"/>
      <c r="K67" s="8" t="n"/>
    </row>
    <row r="68">
      <c r="A68" s="9" t="n"/>
      <c r="B68" s="8" t="n"/>
      <c r="C68" s="8" t="n"/>
      <c r="D68" s="17">
        <f>IF(C68="","",IF(C68="Core",300,IF(C68="Pro",425,IF(C68="Full Desk",550,""))))</f>
        <v/>
      </c>
      <c r="E68" s="8" t="n"/>
      <c r="F68" s="8" t="n"/>
      <c r="G68" s="8" t="n"/>
      <c r="H68" s="17">
        <f>IF(D68="","",IF(F68="Yes",0,IF(G68="Yes",0,IF(E68=0,0,D68))))</f>
        <v/>
      </c>
      <c r="I68" s="8" t="n"/>
      <c r="J68" s="8" t="n"/>
      <c r="K68" s="8" t="n"/>
    </row>
    <row r="69">
      <c r="A69" s="9" t="n"/>
      <c r="B69" s="8" t="n"/>
      <c r="C69" s="8" t="n"/>
      <c r="D69" s="17">
        <f>IF(C69="","",IF(C69="Core",300,IF(C69="Pro",425,IF(C69="Full Desk",550,""))))</f>
        <v/>
      </c>
      <c r="E69" s="8" t="n"/>
      <c r="F69" s="8" t="n"/>
      <c r="G69" s="8" t="n"/>
      <c r="H69" s="17">
        <f>IF(D69="","",IF(F69="Yes",0,IF(G69="Yes",0,IF(E69=0,0,D69))))</f>
        <v/>
      </c>
      <c r="I69" s="8" t="n"/>
      <c r="J69" s="8" t="n"/>
      <c r="K69" s="8" t="n"/>
    </row>
    <row r="70">
      <c r="A70" s="9" t="n"/>
      <c r="B70" s="8" t="n"/>
      <c r="C70" s="8" t="n"/>
      <c r="D70" s="17">
        <f>IF(C70="","",IF(C70="Core",300,IF(C70="Pro",425,IF(C70="Full Desk",550,""))))</f>
        <v/>
      </c>
      <c r="E70" s="8" t="n"/>
      <c r="F70" s="8" t="n"/>
      <c r="G70" s="8" t="n"/>
      <c r="H70" s="17">
        <f>IF(D70="","",IF(F70="Yes",0,IF(G70="Yes",0,IF(E70=0,0,D70))))</f>
        <v/>
      </c>
      <c r="I70" s="8" t="n"/>
      <c r="J70" s="8" t="n"/>
      <c r="K70" s="8" t="n"/>
    </row>
    <row r="71">
      <c r="A71" s="9" t="n"/>
      <c r="B71" s="8" t="n"/>
      <c r="C71" s="8" t="n"/>
      <c r="D71" s="17">
        <f>IF(C71="","",IF(C71="Core",300,IF(C71="Pro",425,IF(C71="Full Desk",550,""))))</f>
        <v/>
      </c>
      <c r="E71" s="8" t="n"/>
      <c r="F71" s="8" t="n"/>
      <c r="G71" s="8" t="n"/>
      <c r="H71" s="17">
        <f>IF(D71="","",IF(F71="Yes",0,IF(G71="Yes",0,IF(E71=0,0,D71))))</f>
        <v/>
      </c>
      <c r="I71" s="8" t="n"/>
      <c r="J71" s="8" t="n"/>
      <c r="K71" s="8" t="n"/>
    </row>
    <row r="72">
      <c r="A72" s="9" t="n"/>
      <c r="B72" s="8" t="n"/>
      <c r="C72" s="8" t="n"/>
      <c r="D72" s="17">
        <f>IF(C72="","",IF(C72="Core",300,IF(C72="Pro",425,IF(C72="Full Desk",550,""))))</f>
        <v/>
      </c>
      <c r="E72" s="8" t="n"/>
      <c r="F72" s="8" t="n"/>
      <c r="G72" s="8" t="n"/>
      <c r="H72" s="17">
        <f>IF(D72="","",IF(F72="Yes",0,IF(G72="Yes",0,IF(E72=0,0,D72))))</f>
        <v/>
      </c>
      <c r="I72" s="8" t="n"/>
      <c r="J72" s="8" t="n"/>
      <c r="K72" s="8" t="n"/>
    </row>
    <row r="73">
      <c r="A73" s="9" t="n"/>
      <c r="B73" s="8" t="n"/>
      <c r="C73" s="8" t="n"/>
      <c r="D73" s="17">
        <f>IF(C73="","",IF(C73="Core",300,IF(C73="Pro",425,IF(C73="Full Desk",550,""))))</f>
        <v/>
      </c>
      <c r="E73" s="8" t="n"/>
      <c r="F73" s="8" t="n"/>
      <c r="G73" s="8" t="n"/>
      <c r="H73" s="17">
        <f>IF(D73="","",IF(F73="Yes",0,IF(G73="Yes",0,IF(E73=0,0,D73))))</f>
        <v/>
      </c>
      <c r="I73" s="8" t="n"/>
      <c r="J73" s="8" t="n"/>
      <c r="K73" s="8" t="n"/>
    </row>
    <row r="74">
      <c r="A74" s="9" t="n"/>
      <c r="B74" s="8" t="n"/>
      <c r="C74" s="8" t="n"/>
      <c r="D74" s="17">
        <f>IF(C74="","",IF(C74="Core",300,IF(C74="Pro",425,IF(C74="Full Desk",550,""))))</f>
        <v/>
      </c>
      <c r="E74" s="8" t="n"/>
      <c r="F74" s="8" t="n"/>
      <c r="G74" s="8" t="n"/>
      <c r="H74" s="17">
        <f>IF(D74="","",IF(F74="Yes",0,IF(G74="Yes",0,IF(E74=0,0,D74))))</f>
        <v/>
      </c>
      <c r="I74" s="8" t="n"/>
      <c r="J74" s="8" t="n"/>
      <c r="K74" s="8" t="n"/>
    </row>
    <row r="75">
      <c r="A75" s="9" t="n"/>
      <c r="B75" s="8" t="n"/>
      <c r="C75" s="8" t="n"/>
      <c r="D75" s="17">
        <f>IF(C75="","",IF(C75="Core",300,IF(C75="Pro",425,IF(C75="Full Desk",550,""))))</f>
        <v/>
      </c>
      <c r="E75" s="8" t="n"/>
      <c r="F75" s="8" t="n"/>
      <c r="G75" s="8" t="n"/>
      <c r="H75" s="17">
        <f>IF(D75="","",IF(F75="Yes",0,IF(G75="Yes",0,IF(E75=0,0,D75))))</f>
        <v/>
      </c>
      <c r="I75" s="8" t="n"/>
      <c r="J75" s="8" t="n"/>
      <c r="K75" s="8" t="n"/>
    </row>
    <row r="76">
      <c r="A76" s="9" t="n"/>
      <c r="B76" s="8" t="n"/>
      <c r="C76" s="8" t="n"/>
      <c r="D76" s="17">
        <f>IF(C76="","",IF(C76="Core",300,IF(C76="Pro",425,IF(C76="Full Desk",550,""))))</f>
        <v/>
      </c>
      <c r="E76" s="8" t="n"/>
      <c r="F76" s="8" t="n"/>
      <c r="G76" s="8" t="n"/>
      <c r="H76" s="17">
        <f>IF(D76="","",IF(F76="Yes",0,IF(G76="Yes",0,IF(E76=0,0,D76))))</f>
        <v/>
      </c>
      <c r="I76" s="8" t="n"/>
      <c r="J76" s="8" t="n"/>
      <c r="K76" s="8" t="n"/>
    </row>
    <row r="77">
      <c r="A77" s="9" t="n"/>
      <c r="B77" s="8" t="n"/>
      <c r="C77" s="8" t="n"/>
      <c r="D77" s="17">
        <f>IF(C77="","",IF(C77="Core",300,IF(C77="Pro",425,IF(C77="Full Desk",550,""))))</f>
        <v/>
      </c>
      <c r="E77" s="8" t="n"/>
      <c r="F77" s="8" t="n"/>
      <c r="G77" s="8" t="n"/>
      <c r="H77" s="17">
        <f>IF(D77="","",IF(F77="Yes",0,IF(G77="Yes",0,IF(E77=0,0,D77))))</f>
        <v/>
      </c>
      <c r="I77" s="8" t="n"/>
      <c r="J77" s="8" t="n"/>
      <c r="K77" s="8" t="n"/>
    </row>
    <row r="78">
      <c r="A78" s="9" t="n"/>
      <c r="B78" s="8" t="n"/>
      <c r="C78" s="8" t="n"/>
      <c r="D78" s="17">
        <f>IF(C78="","",IF(C78="Core",300,IF(C78="Pro",425,IF(C78="Full Desk",550,""))))</f>
        <v/>
      </c>
      <c r="E78" s="8" t="n"/>
      <c r="F78" s="8" t="n"/>
      <c r="G78" s="8" t="n"/>
      <c r="H78" s="17">
        <f>IF(D78="","",IF(F78="Yes",0,IF(G78="Yes",0,IF(E78=0,0,D78))))</f>
        <v/>
      </c>
      <c r="I78" s="8" t="n"/>
      <c r="J78" s="8" t="n"/>
      <c r="K78" s="8" t="n"/>
    </row>
    <row r="79">
      <c r="A79" s="9" t="n"/>
      <c r="B79" s="8" t="n"/>
      <c r="C79" s="8" t="n"/>
      <c r="D79" s="17">
        <f>IF(C79="","",IF(C79="Core",300,IF(C79="Pro",425,IF(C79="Full Desk",550,""))))</f>
        <v/>
      </c>
      <c r="E79" s="8" t="n"/>
      <c r="F79" s="8" t="n"/>
      <c r="G79" s="8" t="n"/>
      <c r="H79" s="17">
        <f>IF(D79="","",IF(F79="Yes",0,IF(G79="Yes",0,IF(E79=0,0,D79))))</f>
        <v/>
      </c>
      <c r="I79" s="8" t="n"/>
      <c r="J79" s="8" t="n"/>
      <c r="K79" s="8" t="n"/>
    </row>
    <row r="80">
      <c r="A80" s="9" t="n"/>
      <c r="B80" s="8" t="n"/>
      <c r="C80" s="8" t="n"/>
      <c r="D80" s="17">
        <f>IF(C80="","",IF(C80="Core",300,IF(C80="Pro",425,IF(C80="Full Desk",550,""))))</f>
        <v/>
      </c>
      <c r="E80" s="8" t="n"/>
      <c r="F80" s="8" t="n"/>
      <c r="G80" s="8" t="n"/>
      <c r="H80" s="17">
        <f>IF(D80="","",IF(F80="Yes",0,IF(G80="Yes",0,IF(E80=0,0,D80))))</f>
        <v/>
      </c>
      <c r="I80" s="8" t="n"/>
      <c r="J80" s="8" t="n"/>
      <c r="K80" s="8" t="n"/>
    </row>
    <row r="81">
      <c r="A81" s="9" t="n"/>
      <c r="B81" s="8" t="n"/>
      <c r="C81" s="8" t="n"/>
      <c r="D81" s="17">
        <f>IF(C81="","",IF(C81="Core",300,IF(C81="Pro",425,IF(C81="Full Desk",550,""))))</f>
        <v/>
      </c>
      <c r="E81" s="8" t="n"/>
      <c r="F81" s="8" t="n"/>
      <c r="G81" s="8" t="n"/>
      <c r="H81" s="17">
        <f>IF(D81="","",IF(F81="Yes",0,IF(G81="Yes",0,IF(E81=0,0,D81))))</f>
        <v/>
      </c>
      <c r="I81" s="8" t="n"/>
      <c r="J81" s="8" t="n"/>
      <c r="K81" s="8" t="n"/>
    </row>
    <row r="82">
      <c r="A82" s="9" t="n"/>
      <c r="B82" s="8" t="n"/>
      <c r="C82" s="8" t="n"/>
      <c r="D82" s="17">
        <f>IF(C82="","",IF(C82="Core",300,IF(C82="Pro",425,IF(C82="Full Desk",550,""))))</f>
        <v/>
      </c>
      <c r="E82" s="8" t="n"/>
      <c r="F82" s="8" t="n"/>
      <c r="G82" s="8" t="n"/>
      <c r="H82" s="17">
        <f>IF(D82="","",IF(F82="Yes",0,IF(G82="Yes",0,IF(E82=0,0,D82))))</f>
        <v/>
      </c>
      <c r="I82" s="8" t="n"/>
      <c r="J82" s="8" t="n"/>
      <c r="K82" s="8" t="n"/>
    </row>
    <row r="83">
      <c r="A83" s="9" t="n"/>
      <c r="B83" s="8" t="n"/>
      <c r="C83" s="8" t="n"/>
      <c r="D83" s="17">
        <f>IF(C83="","",IF(C83="Core",300,IF(C83="Pro",425,IF(C83="Full Desk",550,""))))</f>
        <v/>
      </c>
      <c r="E83" s="8" t="n"/>
      <c r="F83" s="8" t="n"/>
      <c r="G83" s="8" t="n"/>
      <c r="H83" s="17">
        <f>IF(D83="","",IF(F83="Yes",0,IF(G83="Yes",0,IF(E83=0,0,D83))))</f>
        <v/>
      </c>
      <c r="I83" s="8" t="n"/>
      <c r="J83" s="8" t="n"/>
      <c r="K83" s="8" t="n"/>
    </row>
    <row r="84">
      <c r="A84" s="9" t="n"/>
      <c r="B84" s="8" t="n"/>
      <c r="C84" s="8" t="n"/>
      <c r="D84" s="17">
        <f>IF(C84="","",IF(C84="Core",300,IF(C84="Pro",425,IF(C84="Full Desk",550,""))))</f>
        <v/>
      </c>
      <c r="E84" s="8" t="n"/>
      <c r="F84" s="8" t="n"/>
      <c r="G84" s="8" t="n"/>
      <c r="H84" s="17">
        <f>IF(D84="","",IF(F84="Yes",0,IF(G84="Yes",0,IF(E84=0,0,D84))))</f>
        <v/>
      </c>
      <c r="I84" s="8" t="n"/>
      <c r="J84" s="8" t="n"/>
      <c r="K84" s="8" t="n"/>
    </row>
    <row r="85">
      <c r="A85" s="9" t="n"/>
      <c r="B85" s="8" t="n"/>
      <c r="C85" s="8" t="n"/>
      <c r="D85" s="17">
        <f>IF(C85="","",IF(C85="Core",300,IF(C85="Pro",425,IF(C85="Full Desk",550,""))))</f>
        <v/>
      </c>
      <c r="E85" s="8" t="n"/>
      <c r="F85" s="8" t="n"/>
      <c r="G85" s="8" t="n"/>
      <c r="H85" s="17">
        <f>IF(D85="","",IF(F85="Yes",0,IF(G85="Yes",0,IF(E85=0,0,D85))))</f>
        <v/>
      </c>
      <c r="I85" s="8" t="n"/>
      <c r="J85" s="8" t="n"/>
      <c r="K85" s="8" t="n"/>
    </row>
    <row r="86">
      <c r="A86" s="9" t="n"/>
      <c r="B86" s="8" t="n"/>
      <c r="C86" s="8" t="n"/>
      <c r="D86" s="17">
        <f>IF(C86="","",IF(C86="Core",300,IF(C86="Pro",425,IF(C86="Full Desk",550,""))))</f>
        <v/>
      </c>
      <c r="E86" s="8" t="n"/>
      <c r="F86" s="8" t="n"/>
      <c r="G86" s="8" t="n"/>
      <c r="H86" s="17">
        <f>IF(D86="","",IF(F86="Yes",0,IF(G86="Yes",0,IF(E86=0,0,D86))))</f>
        <v/>
      </c>
      <c r="I86" s="8" t="n"/>
      <c r="J86" s="8" t="n"/>
      <c r="K86" s="8" t="n"/>
    </row>
    <row r="87">
      <c r="A87" s="9" t="n"/>
      <c r="B87" s="8" t="n"/>
      <c r="C87" s="8" t="n"/>
      <c r="D87" s="17">
        <f>IF(C87="","",IF(C87="Core",300,IF(C87="Pro",425,IF(C87="Full Desk",550,""))))</f>
        <v/>
      </c>
      <c r="E87" s="8" t="n"/>
      <c r="F87" s="8" t="n"/>
      <c r="G87" s="8" t="n"/>
      <c r="H87" s="17">
        <f>IF(D87="","",IF(F87="Yes",0,IF(G87="Yes",0,IF(E87=0,0,D87))))</f>
        <v/>
      </c>
      <c r="I87" s="8" t="n"/>
      <c r="J87" s="8" t="n"/>
      <c r="K87" s="8" t="n"/>
    </row>
    <row r="88">
      <c r="A88" s="9" t="n"/>
      <c r="B88" s="8" t="n"/>
      <c r="C88" s="8" t="n"/>
      <c r="D88" s="17">
        <f>IF(C88="","",IF(C88="Core",300,IF(C88="Pro",425,IF(C88="Full Desk",550,""))))</f>
        <v/>
      </c>
      <c r="E88" s="8" t="n"/>
      <c r="F88" s="8" t="n"/>
      <c r="G88" s="8" t="n"/>
      <c r="H88" s="17">
        <f>IF(D88="","",IF(F88="Yes",0,IF(G88="Yes",0,IF(E88=0,0,D88))))</f>
        <v/>
      </c>
      <c r="I88" s="8" t="n"/>
      <c r="J88" s="8" t="n"/>
      <c r="K88" s="8" t="n"/>
    </row>
    <row r="89">
      <c r="A89" s="9" t="n"/>
      <c r="B89" s="8" t="n"/>
      <c r="C89" s="8" t="n"/>
      <c r="D89" s="17">
        <f>IF(C89="","",IF(C89="Core",300,IF(C89="Pro",425,IF(C89="Full Desk",550,""))))</f>
        <v/>
      </c>
      <c r="E89" s="8" t="n"/>
      <c r="F89" s="8" t="n"/>
      <c r="G89" s="8" t="n"/>
      <c r="H89" s="17">
        <f>IF(D89="","",IF(F89="Yes",0,IF(G89="Yes",0,IF(E89=0,0,D89))))</f>
        <v/>
      </c>
      <c r="I89" s="8" t="n"/>
      <c r="J89" s="8" t="n"/>
      <c r="K89" s="8" t="n"/>
    </row>
    <row r="90">
      <c r="A90" s="9" t="n"/>
      <c r="B90" s="8" t="n"/>
      <c r="C90" s="8" t="n"/>
      <c r="D90" s="17">
        <f>IF(C90="","",IF(C90="Core",300,IF(C90="Pro",425,IF(C90="Full Desk",550,""))))</f>
        <v/>
      </c>
      <c r="E90" s="8" t="n"/>
      <c r="F90" s="8" t="n"/>
      <c r="G90" s="8" t="n"/>
      <c r="H90" s="17">
        <f>IF(D90="","",IF(F90="Yes",0,IF(G90="Yes",0,IF(E90=0,0,D90))))</f>
        <v/>
      </c>
      <c r="I90" s="8" t="n"/>
      <c r="J90" s="8" t="n"/>
      <c r="K90" s="8" t="n"/>
    </row>
    <row r="91">
      <c r="A91" s="9" t="n"/>
      <c r="B91" s="8" t="n"/>
      <c r="C91" s="8" t="n"/>
      <c r="D91" s="17">
        <f>IF(C91="","",IF(C91="Core",300,IF(C91="Pro",425,IF(C91="Full Desk",550,""))))</f>
        <v/>
      </c>
      <c r="E91" s="8" t="n"/>
      <c r="F91" s="8" t="n"/>
      <c r="G91" s="8" t="n"/>
      <c r="H91" s="17">
        <f>IF(D91="","",IF(F91="Yes",0,IF(G91="Yes",0,IF(E91=0,0,D91))))</f>
        <v/>
      </c>
      <c r="I91" s="8" t="n"/>
      <c r="J91" s="8" t="n"/>
      <c r="K91" s="8" t="n"/>
    </row>
    <row r="92">
      <c r="A92" s="9" t="n"/>
      <c r="B92" s="8" t="n"/>
      <c r="C92" s="8" t="n"/>
      <c r="D92" s="17">
        <f>IF(C92="","",IF(C92="Core",300,IF(C92="Pro",425,IF(C92="Full Desk",550,""))))</f>
        <v/>
      </c>
      <c r="E92" s="8" t="n"/>
      <c r="F92" s="8" t="n"/>
      <c r="G92" s="8" t="n"/>
      <c r="H92" s="17">
        <f>IF(D92="","",IF(F92="Yes",0,IF(G92="Yes",0,IF(E92=0,0,D92))))</f>
        <v/>
      </c>
      <c r="I92" s="8" t="n"/>
      <c r="J92" s="8" t="n"/>
      <c r="K92" s="8" t="n"/>
    </row>
    <row r="93">
      <c r="A93" s="9" t="n"/>
      <c r="B93" s="8" t="n"/>
      <c r="C93" s="8" t="n"/>
      <c r="D93" s="17">
        <f>IF(C93="","",IF(C93="Core",300,IF(C93="Pro",425,IF(C93="Full Desk",550,""))))</f>
        <v/>
      </c>
      <c r="E93" s="8" t="n"/>
      <c r="F93" s="8" t="n"/>
      <c r="G93" s="8" t="n"/>
      <c r="H93" s="17">
        <f>IF(D93="","",IF(F93="Yes",0,IF(G93="Yes",0,IF(E93=0,0,D93))))</f>
        <v/>
      </c>
      <c r="I93" s="8" t="n"/>
      <c r="J93" s="8" t="n"/>
      <c r="K93" s="8" t="n"/>
    </row>
    <row r="94">
      <c r="A94" s="9" t="n"/>
      <c r="B94" s="8" t="n"/>
      <c r="C94" s="8" t="n"/>
      <c r="D94" s="17">
        <f>IF(C94="","",IF(C94="Core",300,IF(C94="Pro",425,IF(C94="Full Desk",550,""))))</f>
        <v/>
      </c>
      <c r="E94" s="8" t="n"/>
      <c r="F94" s="8" t="n"/>
      <c r="G94" s="8" t="n"/>
      <c r="H94" s="17">
        <f>IF(D94="","",IF(F94="Yes",0,IF(G94="Yes",0,IF(E94=0,0,D94))))</f>
        <v/>
      </c>
      <c r="I94" s="8" t="n"/>
      <c r="J94" s="8" t="n"/>
      <c r="K94" s="8" t="n"/>
    </row>
    <row r="95">
      <c r="A95" s="9" t="n"/>
      <c r="B95" s="8" t="n"/>
      <c r="C95" s="8" t="n"/>
      <c r="D95" s="17">
        <f>IF(C95="","",IF(C95="Core",300,IF(C95="Pro",425,IF(C95="Full Desk",550,""))))</f>
        <v/>
      </c>
      <c r="E95" s="8" t="n"/>
      <c r="F95" s="8" t="n"/>
      <c r="G95" s="8" t="n"/>
      <c r="H95" s="17">
        <f>IF(D95="","",IF(F95="Yes",0,IF(G95="Yes",0,IF(E95=0,0,D95))))</f>
        <v/>
      </c>
      <c r="I95" s="8" t="n"/>
      <c r="J95" s="8" t="n"/>
      <c r="K95" s="8" t="n"/>
    </row>
    <row r="96">
      <c r="A96" s="9" t="n"/>
      <c r="B96" s="8" t="n"/>
      <c r="C96" s="8" t="n"/>
      <c r="D96" s="17">
        <f>IF(C96="","",IF(C96="Core",300,IF(C96="Pro",425,IF(C96="Full Desk",550,""))))</f>
        <v/>
      </c>
      <c r="E96" s="8" t="n"/>
      <c r="F96" s="8" t="n"/>
      <c r="G96" s="8" t="n"/>
      <c r="H96" s="17">
        <f>IF(D96="","",IF(F96="Yes",0,IF(G96="Yes",0,IF(E96=0,0,D96))))</f>
        <v/>
      </c>
      <c r="I96" s="8" t="n"/>
      <c r="J96" s="8" t="n"/>
      <c r="K96" s="8" t="n"/>
    </row>
    <row r="97">
      <c r="A97" s="9" t="n"/>
      <c r="B97" s="8" t="n"/>
      <c r="C97" s="8" t="n"/>
      <c r="D97" s="17">
        <f>IF(C97="","",IF(C97="Core",300,IF(C97="Pro",425,IF(C97="Full Desk",550,""))))</f>
        <v/>
      </c>
      <c r="E97" s="8" t="n"/>
      <c r="F97" s="8" t="n"/>
      <c r="G97" s="8" t="n"/>
      <c r="H97" s="17">
        <f>IF(D97="","",IF(F97="Yes",0,IF(G97="Yes",0,IF(E97=0,0,D97))))</f>
        <v/>
      </c>
      <c r="I97" s="8" t="n"/>
      <c r="J97" s="8" t="n"/>
      <c r="K97" s="8" t="n"/>
    </row>
    <row r="98">
      <c r="A98" s="9" t="n"/>
      <c r="B98" s="8" t="n"/>
      <c r="C98" s="8" t="n"/>
      <c r="D98" s="17">
        <f>IF(C98="","",IF(C98="Core",300,IF(C98="Pro",425,IF(C98="Full Desk",550,""))))</f>
        <v/>
      </c>
      <c r="E98" s="8" t="n"/>
      <c r="F98" s="8" t="n"/>
      <c r="G98" s="8" t="n"/>
      <c r="H98" s="17">
        <f>IF(D98="","",IF(F98="Yes",0,IF(G98="Yes",0,IF(E98=0,0,D98))))</f>
        <v/>
      </c>
      <c r="I98" s="8" t="n"/>
      <c r="J98" s="8" t="n"/>
      <c r="K98" s="8" t="n"/>
    </row>
    <row r="99">
      <c r="A99" s="9" t="n"/>
      <c r="B99" s="8" t="n"/>
      <c r="C99" s="8" t="n"/>
      <c r="D99" s="17">
        <f>IF(C99="","",IF(C99="Core",300,IF(C99="Pro",425,IF(C99="Full Desk",550,""))))</f>
        <v/>
      </c>
      <c r="E99" s="8" t="n"/>
      <c r="F99" s="8" t="n"/>
      <c r="G99" s="8" t="n"/>
      <c r="H99" s="17">
        <f>IF(D99="","",IF(F99="Yes",0,IF(G99="Yes",0,IF(E99=0,0,D99))))</f>
        <v/>
      </c>
      <c r="I99" s="8" t="n"/>
      <c r="J99" s="8" t="n"/>
      <c r="K99" s="8" t="n"/>
    </row>
    <row r="100">
      <c r="A100" s="9" t="n"/>
      <c r="B100" s="8" t="n"/>
      <c r="C100" s="8" t="n"/>
      <c r="D100" s="17">
        <f>IF(C100="","",IF(C100="Core",300,IF(C100="Pro",425,IF(C100="Full Desk",550,""))))</f>
        <v/>
      </c>
      <c r="E100" s="8" t="n"/>
      <c r="F100" s="8" t="n"/>
      <c r="G100" s="8" t="n"/>
      <c r="H100" s="17">
        <f>IF(D100="","",IF(F100="Yes",0,IF(G100="Yes",0,IF(E100=0,0,D100))))</f>
        <v/>
      </c>
      <c r="I100" s="8" t="n"/>
      <c r="J100" s="8" t="n"/>
      <c r="K100" s="8" t="n"/>
    </row>
    <row r="101">
      <c r="A101" s="9" t="n"/>
      <c r="B101" s="8" t="n"/>
      <c r="C101" s="8" t="n"/>
      <c r="D101" s="17">
        <f>IF(C101="","",IF(C101="Core",300,IF(C101="Pro",425,IF(C101="Full Desk",550,""))))</f>
        <v/>
      </c>
      <c r="E101" s="8" t="n"/>
      <c r="F101" s="8" t="n"/>
      <c r="G101" s="8" t="n"/>
      <c r="H101" s="17">
        <f>IF(D101="","",IF(F101="Yes",0,IF(G101="Yes",0,IF(E101=0,0,D101))))</f>
        <v/>
      </c>
      <c r="I101" s="8" t="n"/>
      <c r="J101" s="8" t="n"/>
      <c r="K101" s="8" t="n"/>
    </row>
    <row r="102">
      <c r="A102" s="9" t="n"/>
      <c r="B102" s="8" t="n"/>
      <c r="C102" s="8" t="n"/>
      <c r="D102" s="17">
        <f>IF(C102="","",IF(C102="Core",300,IF(C102="Pro",425,IF(C102="Full Desk",550,""))))</f>
        <v/>
      </c>
      <c r="E102" s="8" t="n"/>
      <c r="F102" s="8" t="n"/>
      <c r="G102" s="8" t="n"/>
      <c r="H102" s="17">
        <f>IF(D102="","",IF(F102="Yes",0,IF(G102="Yes",0,IF(E102=0,0,D102))))</f>
        <v/>
      </c>
      <c r="I102" s="8" t="n"/>
      <c r="J102" s="8" t="n"/>
      <c r="K102" s="8" t="n"/>
    </row>
    <row r="103">
      <c r="A103" s="9" t="n"/>
      <c r="B103" s="8" t="n"/>
      <c r="C103" s="8" t="n"/>
      <c r="D103" s="17">
        <f>IF(C103="","",IF(C103="Core",300,IF(C103="Pro",425,IF(C103="Full Desk",550,""))))</f>
        <v/>
      </c>
      <c r="E103" s="8" t="n"/>
      <c r="F103" s="8" t="n"/>
      <c r="G103" s="8" t="n"/>
      <c r="H103" s="17">
        <f>IF(D103="","",IF(F103="Yes",0,IF(G103="Yes",0,IF(E103=0,0,D103))))</f>
        <v/>
      </c>
      <c r="I103" s="8" t="n"/>
      <c r="J103" s="8" t="n"/>
      <c r="K103" s="8" t="n"/>
    </row>
    <row r="104">
      <c r="A104" s="9" t="n"/>
      <c r="B104" s="8" t="n"/>
      <c r="C104" s="8" t="n"/>
      <c r="D104" s="17">
        <f>IF(C104="","",IF(C104="Core",300,IF(C104="Pro",425,IF(C104="Full Desk",550,""))))</f>
        <v/>
      </c>
      <c r="E104" s="8" t="n"/>
      <c r="F104" s="8" t="n"/>
      <c r="G104" s="8" t="n"/>
      <c r="H104" s="17">
        <f>IF(D104="","",IF(F104="Yes",0,IF(G104="Yes",0,IF(E104=0,0,D104))))</f>
        <v/>
      </c>
      <c r="I104" s="8" t="n"/>
      <c r="J104" s="8" t="n"/>
      <c r="K104" s="8" t="n"/>
    </row>
    <row r="105">
      <c r="A105" s="9" t="n"/>
      <c r="B105" s="8" t="n"/>
      <c r="C105" s="8" t="n"/>
      <c r="D105" s="17">
        <f>IF(C105="","",IF(C105="Core",300,IF(C105="Pro",425,IF(C105="Full Desk",550,""))))</f>
        <v/>
      </c>
      <c r="E105" s="8" t="n"/>
      <c r="F105" s="8" t="n"/>
      <c r="G105" s="8" t="n"/>
      <c r="H105" s="17">
        <f>IF(D105="","",IF(F105="Yes",0,IF(G105="Yes",0,IF(E105=0,0,D105))))</f>
        <v/>
      </c>
      <c r="I105" s="8" t="n"/>
      <c r="J105" s="8" t="n"/>
      <c r="K105" s="8" t="n"/>
    </row>
    <row r="106">
      <c r="A106" s="9" t="n"/>
      <c r="B106" s="8" t="n"/>
      <c r="C106" s="8" t="n"/>
      <c r="D106" s="17">
        <f>IF(C106="","",IF(C106="Core",300,IF(C106="Pro",425,IF(C106="Full Desk",550,""))))</f>
        <v/>
      </c>
      <c r="E106" s="8" t="n"/>
      <c r="F106" s="8" t="n"/>
      <c r="G106" s="8" t="n"/>
      <c r="H106" s="17">
        <f>IF(D106="","",IF(F106="Yes",0,IF(G106="Yes",0,IF(E106=0,0,D106))))</f>
        <v/>
      </c>
      <c r="I106" s="8" t="n"/>
      <c r="J106" s="8" t="n"/>
      <c r="K106" s="8" t="n"/>
    </row>
    <row r="107">
      <c r="A107" s="9" t="n"/>
      <c r="B107" s="8" t="n"/>
      <c r="C107" s="8" t="n"/>
      <c r="D107" s="17">
        <f>IF(C107="","",IF(C107="Core",300,IF(C107="Pro",425,IF(C107="Full Desk",550,""))))</f>
        <v/>
      </c>
      <c r="E107" s="8" t="n"/>
      <c r="F107" s="8" t="n"/>
      <c r="G107" s="8" t="n"/>
      <c r="H107" s="17">
        <f>IF(D107="","",IF(F107="Yes",0,IF(G107="Yes",0,IF(E107=0,0,D107))))</f>
        <v/>
      </c>
      <c r="I107" s="8" t="n"/>
      <c r="J107" s="8" t="n"/>
      <c r="K107" s="8" t="n"/>
    </row>
    <row r="108">
      <c r="A108" s="9" t="n"/>
      <c r="B108" s="8" t="n"/>
      <c r="C108" s="8" t="n"/>
      <c r="D108" s="17">
        <f>IF(C108="","",IF(C108="Core",300,IF(C108="Pro",425,IF(C108="Full Desk",550,""))))</f>
        <v/>
      </c>
      <c r="E108" s="8" t="n"/>
      <c r="F108" s="8" t="n"/>
      <c r="G108" s="8" t="n"/>
      <c r="H108" s="17">
        <f>IF(D108="","",IF(F108="Yes",0,IF(G108="Yes",0,IF(E108=0,0,D108))))</f>
        <v/>
      </c>
      <c r="I108" s="8" t="n"/>
      <c r="J108" s="8" t="n"/>
      <c r="K108" s="8" t="n"/>
    </row>
    <row r="109">
      <c r="A109" s="9" t="n"/>
      <c r="B109" s="8" t="n"/>
      <c r="C109" s="8" t="n"/>
      <c r="D109" s="17">
        <f>IF(C109="","",IF(C109="Core",300,IF(C109="Pro",425,IF(C109="Full Desk",550,""))))</f>
        <v/>
      </c>
      <c r="E109" s="8" t="n"/>
      <c r="F109" s="8" t="n"/>
      <c r="G109" s="8" t="n"/>
      <c r="H109" s="17">
        <f>IF(D109="","",IF(F109="Yes",0,IF(G109="Yes",0,IF(E109=0,0,D109))))</f>
        <v/>
      </c>
      <c r="I109" s="8" t="n"/>
      <c r="J109" s="8" t="n"/>
      <c r="K109" s="8" t="n"/>
    </row>
    <row r="110">
      <c r="A110" s="9" t="n"/>
      <c r="B110" s="8" t="n"/>
      <c r="C110" s="8" t="n"/>
      <c r="D110" s="17">
        <f>IF(C110="","",IF(C110="Core",300,IF(C110="Pro",425,IF(C110="Full Desk",550,""))))</f>
        <v/>
      </c>
      <c r="E110" s="8" t="n"/>
      <c r="F110" s="8" t="n"/>
      <c r="G110" s="8" t="n"/>
      <c r="H110" s="17">
        <f>IF(D110="","",IF(F110="Yes",0,IF(G110="Yes",0,IF(E110=0,0,D110))))</f>
        <v/>
      </c>
      <c r="I110" s="8" t="n"/>
      <c r="J110" s="8" t="n"/>
      <c r="K110" s="8" t="n"/>
    </row>
    <row r="111">
      <c r="A111" s="9" t="n"/>
      <c r="B111" s="8" t="n"/>
      <c r="C111" s="8" t="n"/>
      <c r="D111" s="17">
        <f>IF(C111="","",IF(C111="Core",300,IF(C111="Pro",425,IF(C111="Full Desk",550,""))))</f>
        <v/>
      </c>
      <c r="E111" s="8" t="n"/>
      <c r="F111" s="8" t="n"/>
      <c r="G111" s="8" t="n"/>
      <c r="H111" s="17">
        <f>IF(D111="","",IF(F111="Yes",0,IF(G111="Yes",0,IF(E111=0,0,D111))))</f>
        <v/>
      </c>
      <c r="I111" s="8" t="n"/>
      <c r="J111" s="8" t="n"/>
      <c r="K111" s="8" t="n"/>
    </row>
    <row r="112">
      <c r="A112" s="9" t="n"/>
      <c r="B112" s="8" t="n"/>
      <c r="C112" s="8" t="n"/>
      <c r="D112" s="17">
        <f>IF(C112="","",IF(C112="Core",300,IF(C112="Pro",425,IF(C112="Full Desk",550,""))))</f>
        <v/>
      </c>
      <c r="E112" s="8" t="n"/>
      <c r="F112" s="8" t="n"/>
      <c r="G112" s="8" t="n"/>
      <c r="H112" s="17">
        <f>IF(D112="","",IF(F112="Yes",0,IF(G112="Yes",0,IF(E112=0,0,D112))))</f>
        <v/>
      </c>
      <c r="I112" s="8" t="n"/>
      <c r="J112" s="8" t="n"/>
      <c r="K112" s="8" t="n"/>
    </row>
    <row r="113">
      <c r="A113" s="9" t="n"/>
      <c r="B113" s="8" t="n"/>
      <c r="C113" s="8" t="n"/>
      <c r="D113" s="17">
        <f>IF(C113="","",IF(C113="Core",300,IF(C113="Pro",425,IF(C113="Full Desk",550,""))))</f>
        <v/>
      </c>
      <c r="E113" s="8" t="n"/>
      <c r="F113" s="8" t="n"/>
      <c r="G113" s="8" t="n"/>
      <c r="H113" s="17">
        <f>IF(D113="","",IF(F113="Yes",0,IF(G113="Yes",0,IF(E113=0,0,D113))))</f>
        <v/>
      </c>
      <c r="I113" s="8" t="n"/>
      <c r="J113" s="8" t="n"/>
      <c r="K113" s="8" t="n"/>
    </row>
    <row r="114">
      <c r="A114" s="9" t="n"/>
      <c r="B114" s="8" t="n"/>
      <c r="C114" s="8" t="n"/>
      <c r="D114" s="17">
        <f>IF(C114="","",IF(C114="Core",300,IF(C114="Pro",425,IF(C114="Full Desk",550,""))))</f>
        <v/>
      </c>
      <c r="E114" s="8" t="n"/>
      <c r="F114" s="8" t="n"/>
      <c r="G114" s="8" t="n"/>
      <c r="H114" s="17">
        <f>IF(D114="","",IF(F114="Yes",0,IF(G114="Yes",0,IF(E114=0,0,D114))))</f>
        <v/>
      </c>
      <c r="I114" s="8" t="n"/>
      <c r="J114" s="8" t="n"/>
      <c r="K114" s="8" t="n"/>
    </row>
    <row r="115">
      <c r="A115" s="9" t="n"/>
      <c r="B115" s="8" t="n"/>
      <c r="C115" s="8" t="n"/>
      <c r="D115" s="17">
        <f>IF(C115="","",IF(C115="Core",300,IF(C115="Pro",425,IF(C115="Full Desk",550,""))))</f>
        <v/>
      </c>
      <c r="E115" s="8" t="n"/>
      <c r="F115" s="8" t="n"/>
      <c r="G115" s="8" t="n"/>
      <c r="H115" s="17">
        <f>IF(D115="","",IF(F115="Yes",0,IF(G115="Yes",0,IF(E115=0,0,D115))))</f>
        <v/>
      </c>
      <c r="I115" s="8" t="n"/>
      <c r="J115" s="8" t="n"/>
      <c r="K115" s="8" t="n"/>
    </row>
    <row r="116">
      <c r="A116" s="9" t="n"/>
      <c r="B116" s="8" t="n"/>
      <c r="C116" s="8" t="n"/>
      <c r="D116" s="17">
        <f>IF(C116="","",IF(C116="Core",300,IF(C116="Pro",425,IF(C116="Full Desk",550,""))))</f>
        <v/>
      </c>
      <c r="E116" s="8" t="n"/>
      <c r="F116" s="8" t="n"/>
      <c r="G116" s="8" t="n"/>
      <c r="H116" s="17">
        <f>IF(D116="","",IF(F116="Yes",0,IF(G116="Yes",0,IF(E116=0,0,D116))))</f>
        <v/>
      </c>
      <c r="I116" s="8" t="n"/>
      <c r="J116" s="8" t="n"/>
      <c r="K116" s="8" t="n"/>
    </row>
    <row r="117">
      <c r="A117" s="9" t="n"/>
      <c r="B117" s="8" t="n"/>
      <c r="C117" s="8" t="n"/>
      <c r="D117" s="17">
        <f>IF(C117="","",IF(C117="Core",300,IF(C117="Pro",425,IF(C117="Full Desk",550,""))))</f>
        <v/>
      </c>
      <c r="E117" s="8" t="n"/>
      <c r="F117" s="8" t="n"/>
      <c r="G117" s="8" t="n"/>
      <c r="H117" s="17">
        <f>IF(D117="","",IF(F117="Yes",0,IF(G117="Yes",0,IF(E117=0,0,D117))))</f>
        <v/>
      </c>
      <c r="I117" s="8" t="n"/>
      <c r="J117" s="8" t="n"/>
      <c r="K117" s="8" t="n"/>
    </row>
    <row r="118">
      <c r="A118" s="9" t="n"/>
      <c r="B118" s="8" t="n"/>
      <c r="C118" s="8" t="n"/>
      <c r="D118" s="17">
        <f>IF(C118="","",IF(C118="Core",300,IF(C118="Pro",425,IF(C118="Full Desk",550,""))))</f>
        <v/>
      </c>
      <c r="E118" s="8" t="n"/>
      <c r="F118" s="8" t="n"/>
      <c r="G118" s="8" t="n"/>
      <c r="H118" s="17">
        <f>IF(D118="","",IF(F118="Yes",0,IF(G118="Yes",0,IF(E118=0,0,D118))))</f>
        <v/>
      </c>
      <c r="I118" s="8" t="n"/>
      <c r="J118" s="8" t="n"/>
      <c r="K118" s="8" t="n"/>
    </row>
    <row r="119">
      <c r="A119" s="9" t="n"/>
      <c r="B119" s="8" t="n"/>
      <c r="C119" s="8" t="n"/>
      <c r="D119" s="17">
        <f>IF(C119="","",IF(C119="Core",300,IF(C119="Pro",425,IF(C119="Full Desk",550,""))))</f>
        <v/>
      </c>
      <c r="E119" s="8" t="n"/>
      <c r="F119" s="8" t="n"/>
      <c r="G119" s="8" t="n"/>
      <c r="H119" s="17">
        <f>IF(D119="","",IF(F119="Yes",0,IF(G119="Yes",0,IF(E119=0,0,D119))))</f>
        <v/>
      </c>
      <c r="I119" s="8" t="n"/>
      <c r="J119" s="8" t="n"/>
      <c r="K119" s="8" t="n"/>
    </row>
    <row r="120">
      <c r="A120" s="9" t="n"/>
      <c r="B120" s="8" t="n"/>
      <c r="C120" s="8" t="n"/>
      <c r="D120" s="17">
        <f>IF(C120="","",IF(C120="Core",300,IF(C120="Pro",425,IF(C120="Full Desk",550,""))))</f>
        <v/>
      </c>
      <c r="E120" s="8" t="n"/>
      <c r="F120" s="8" t="n"/>
      <c r="G120" s="8" t="n"/>
      <c r="H120" s="17">
        <f>IF(D120="","",IF(F120="Yes",0,IF(G120="Yes",0,IF(E120=0,0,D120))))</f>
        <v/>
      </c>
      <c r="I120" s="8" t="n"/>
      <c r="J120" s="8" t="n"/>
      <c r="K120" s="8" t="n"/>
    </row>
    <row r="121">
      <c r="A121" s="9" t="n"/>
      <c r="B121" s="8" t="n"/>
      <c r="C121" s="8" t="n"/>
      <c r="D121" s="17">
        <f>IF(C121="","",IF(C121="Core",300,IF(C121="Pro",425,IF(C121="Full Desk",550,""))))</f>
        <v/>
      </c>
      <c r="E121" s="8" t="n"/>
      <c r="F121" s="8" t="n"/>
      <c r="G121" s="8" t="n"/>
      <c r="H121" s="17">
        <f>IF(D121="","",IF(F121="Yes",0,IF(G121="Yes",0,IF(E121=0,0,D121))))</f>
        <v/>
      </c>
      <c r="I121" s="8" t="n"/>
      <c r="J121" s="8" t="n"/>
      <c r="K121" s="8" t="n"/>
    </row>
    <row r="122">
      <c r="A122" s="9" t="n"/>
      <c r="B122" s="8" t="n"/>
      <c r="C122" s="8" t="n"/>
      <c r="D122" s="17">
        <f>IF(C122="","",IF(C122="Core",300,IF(C122="Pro",425,IF(C122="Full Desk",550,""))))</f>
        <v/>
      </c>
      <c r="E122" s="8" t="n"/>
      <c r="F122" s="8" t="n"/>
      <c r="G122" s="8" t="n"/>
      <c r="H122" s="17">
        <f>IF(D122="","",IF(F122="Yes",0,IF(G122="Yes",0,IF(E122=0,0,D122))))</f>
        <v/>
      </c>
      <c r="I122" s="8" t="n"/>
      <c r="J122" s="8" t="n"/>
      <c r="K122" s="8" t="n"/>
    </row>
    <row r="123">
      <c r="A123" s="9" t="n"/>
      <c r="B123" s="8" t="n"/>
      <c r="C123" s="8" t="n"/>
      <c r="D123" s="17">
        <f>IF(C123="","",IF(C123="Core",300,IF(C123="Pro",425,IF(C123="Full Desk",550,""))))</f>
        <v/>
      </c>
      <c r="E123" s="8" t="n"/>
      <c r="F123" s="8" t="n"/>
      <c r="G123" s="8" t="n"/>
      <c r="H123" s="17">
        <f>IF(D123="","",IF(F123="Yes",0,IF(G123="Yes",0,IF(E123=0,0,D123))))</f>
        <v/>
      </c>
      <c r="I123" s="8" t="n"/>
      <c r="J123" s="8" t="n"/>
      <c r="K123" s="8" t="n"/>
    </row>
    <row r="124">
      <c r="A124" s="9" t="n"/>
      <c r="B124" s="8" t="n"/>
      <c r="C124" s="8" t="n"/>
      <c r="D124" s="17">
        <f>IF(C124="","",IF(C124="Core",300,IF(C124="Pro",425,IF(C124="Full Desk",550,""))))</f>
        <v/>
      </c>
      <c r="E124" s="8" t="n"/>
      <c r="F124" s="8" t="n"/>
      <c r="G124" s="8" t="n"/>
      <c r="H124" s="17">
        <f>IF(D124="","",IF(F124="Yes",0,IF(G124="Yes",0,IF(E124=0,0,D124))))</f>
        <v/>
      </c>
      <c r="I124" s="8" t="n"/>
      <c r="J124" s="8" t="n"/>
      <c r="K124" s="8" t="n"/>
    </row>
    <row r="125">
      <c r="A125" s="9" t="n"/>
      <c r="B125" s="8" t="n"/>
      <c r="C125" s="8" t="n"/>
      <c r="D125" s="17">
        <f>IF(C125="","",IF(C125="Core",300,IF(C125="Pro",425,IF(C125="Full Desk",550,""))))</f>
        <v/>
      </c>
      <c r="E125" s="8" t="n"/>
      <c r="F125" s="8" t="n"/>
      <c r="G125" s="8" t="n"/>
      <c r="H125" s="17">
        <f>IF(D125="","",IF(F125="Yes",0,IF(G125="Yes",0,IF(E125=0,0,D125))))</f>
        <v/>
      </c>
      <c r="I125" s="8" t="n"/>
      <c r="J125" s="8" t="n"/>
      <c r="K125" s="8" t="n"/>
    </row>
    <row r="126">
      <c r="A126" s="9" t="n"/>
      <c r="B126" s="8" t="n"/>
      <c r="C126" s="8" t="n"/>
      <c r="D126" s="17">
        <f>IF(C126="","",IF(C126="Core",300,IF(C126="Pro",425,IF(C126="Full Desk",550,""))))</f>
        <v/>
      </c>
      <c r="E126" s="8" t="n"/>
      <c r="F126" s="8" t="n"/>
      <c r="G126" s="8" t="n"/>
      <c r="H126" s="17">
        <f>IF(D126="","",IF(F126="Yes",0,IF(G126="Yes",0,IF(E126=0,0,D126))))</f>
        <v/>
      </c>
      <c r="I126" s="8" t="n"/>
      <c r="J126" s="8" t="n"/>
      <c r="K126" s="8" t="n"/>
    </row>
    <row r="127">
      <c r="A127" s="9" t="n"/>
      <c r="B127" s="8" t="n"/>
      <c r="C127" s="8" t="n"/>
      <c r="D127" s="17">
        <f>IF(C127="","",IF(C127="Core",300,IF(C127="Pro",425,IF(C127="Full Desk",550,""))))</f>
        <v/>
      </c>
      <c r="E127" s="8" t="n"/>
      <c r="F127" s="8" t="n"/>
      <c r="G127" s="8" t="n"/>
      <c r="H127" s="17">
        <f>IF(D127="","",IF(F127="Yes",0,IF(G127="Yes",0,IF(E127=0,0,D127))))</f>
        <v/>
      </c>
      <c r="I127" s="8" t="n"/>
      <c r="J127" s="8" t="n"/>
      <c r="K127" s="8" t="n"/>
    </row>
    <row r="128">
      <c r="A128" s="9" t="n"/>
      <c r="B128" s="8" t="n"/>
      <c r="C128" s="8" t="n"/>
      <c r="D128" s="17">
        <f>IF(C128="","",IF(C128="Core",300,IF(C128="Pro",425,IF(C128="Full Desk",550,""))))</f>
        <v/>
      </c>
      <c r="E128" s="8" t="n"/>
      <c r="F128" s="8" t="n"/>
      <c r="G128" s="8" t="n"/>
      <c r="H128" s="17">
        <f>IF(D128="","",IF(F128="Yes",0,IF(G128="Yes",0,IF(E128=0,0,D128))))</f>
        <v/>
      </c>
      <c r="I128" s="8" t="n"/>
      <c r="J128" s="8" t="n"/>
      <c r="K128" s="8" t="n"/>
    </row>
    <row r="129">
      <c r="A129" s="9" t="n"/>
      <c r="B129" s="8" t="n"/>
      <c r="C129" s="8" t="n"/>
      <c r="D129" s="17">
        <f>IF(C129="","",IF(C129="Core",300,IF(C129="Pro",425,IF(C129="Full Desk",550,""))))</f>
        <v/>
      </c>
      <c r="E129" s="8" t="n"/>
      <c r="F129" s="8" t="n"/>
      <c r="G129" s="8" t="n"/>
      <c r="H129" s="17">
        <f>IF(D129="","",IF(F129="Yes",0,IF(G129="Yes",0,IF(E129=0,0,D129))))</f>
        <v/>
      </c>
      <c r="I129" s="8" t="n"/>
      <c r="J129" s="8" t="n"/>
      <c r="K129" s="8" t="n"/>
    </row>
    <row r="130">
      <c r="A130" s="9" t="n"/>
      <c r="B130" s="8" t="n"/>
      <c r="C130" s="8" t="n"/>
      <c r="D130" s="17">
        <f>IF(C130="","",IF(C130="Core",300,IF(C130="Pro",425,IF(C130="Full Desk",550,""))))</f>
        <v/>
      </c>
      <c r="E130" s="8" t="n"/>
      <c r="F130" s="8" t="n"/>
      <c r="G130" s="8" t="n"/>
      <c r="H130" s="17">
        <f>IF(D130="","",IF(F130="Yes",0,IF(G130="Yes",0,IF(E130=0,0,D130))))</f>
        <v/>
      </c>
      <c r="I130" s="8" t="n"/>
      <c r="J130" s="8" t="n"/>
      <c r="K130" s="8" t="n"/>
    </row>
    <row r="131">
      <c r="A131" s="9" t="n"/>
      <c r="B131" s="8" t="n"/>
      <c r="C131" s="8" t="n"/>
      <c r="D131" s="17">
        <f>IF(C131="","",IF(C131="Core",300,IF(C131="Pro",425,IF(C131="Full Desk",550,""))))</f>
        <v/>
      </c>
      <c r="E131" s="8" t="n"/>
      <c r="F131" s="8" t="n"/>
      <c r="G131" s="8" t="n"/>
      <c r="H131" s="17">
        <f>IF(D131="","",IF(F131="Yes",0,IF(G131="Yes",0,IF(E131=0,0,D131))))</f>
        <v/>
      </c>
      <c r="I131" s="8" t="n"/>
      <c r="J131" s="8" t="n"/>
      <c r="K131" s="8" t="n"/>
    </row>
    <row r="132">
      <c r="A132" s="9" t="n"/>
      <c r="B132" s="8" t="n"/>
      <c r="C132" s="8" t="n"/>
      <c r="D132" s="17">
        <f>IF(C132="","",IF(C132="Core",300,IF(C132="Pro",425,IF(C132="Full Desk",550,""))))</f>
        <v/>
      </c>
      <c r="E132" s="8" t="n"/>
      <c r="F132" s="8" t="n"/>
      <c r="G132" s="8" t="n"/>
      <c r="H132" s="17">
        <f>IF(D132="","",IF(F132="Yes",0,IF(G132="Yes",0,IF(E132=0,0,D132))))</f>
        <v/>
      </c>
      <c r="I132" s="8" t="n"/>
      <c r="J132" s="8" t="n"/>
      <c r="K132" s="8" t="n"/>
    </row>
    <row r="133">
      <c r="A133" s="9" t="n"/>
      <c r="B133" s="8" t="n"/>
      <c r="C133" s="8" t="n"/>
      <c r="D133" s="17">
        <f>IF(C133="","",IF(C133="Core",300,IF(C133="Pro",425,IF(C133="Full Desk",550,""))))</f>
        <v/>
      </c>
      <c r="E133" s="8" t="n"/>
      <c r="F133" s="8" t="n"/>
      <c r="G133" s="8" t="n"/>
      <c r="H133" s="17">
        <f>IF(D133="","",IF(F133="Yes",0,IF(G133="Yes",0,IF(E133=0,0,D133))))</f>
        <v/>
      </c>
      <c r="I133" s="8" t="n"/>
      <c r="J133" s="8" t="n"/>
      <c r="K133" s="8" t="n"/>
    </row>
    <row r="134">
      <c r="A134" s="9" t="n"/>
      <c r="B134" s="8" t="n"/>
      <c r="C134" s="8" t="n"/>
      <c r="D134" s="17">
        <f>IF(C134="","",IF(C134="Core",300,IF(C134="Pro",425,IF(C134="Full Desk",550,""))))</f>
        <v/>
      </c>
      <c r="E134" s="8" t="n"/>
      <c r="F134" s="8" t="n"/>
      <c r="G134" s="8" t="n"/>
      <c r="H134" s="17">
        <f>IF(D134="","",IF(F134="Yes",0,IF(G134="Yes",0,IF(E134=0,0,D134))))</f>
        <v/>
      </c>
      <c r="I134" s="8" t="n"/>
      <c r="J134" s="8" t="n"/>
      <c r="K134" s="8" t="n"/>
    </row>
    <row r="135">
      <c r="A135" s="9" t="n"/>
      <c r="B135" s="8" t="n"/>
      <c r="C135" s="8" t="n"/>
      <c r="D135" s="17">
        <f>IF(C135="","",IF(C135="Core",300,IF(C135="Pro",425,IF(C135="Full Desk",550,""))))</f>
        <v/>
      </c>
      <c r="E135" s="8" t="n"/>
      <c r="F135" s="8" t="n"/>
      <c r="G135" s="8" t="n"/>
      <c r="H135" s="17">
        <f>IF(D135="","",IF(F135="Yes",0,IF(G135="Yes",0,IF(E135=0,0,D135))))</f>
        <v/>
      </c>
      <c r="I135" s="8" t="n"/>
      <c r="J135" s="8" t="n"/>
      <c r="K135" s="8" t="n"/>
    </row>
    <row r="136">
      <c r="A136" s="9" t="n"/>
      <c r="B136" s="8" t="n"/>
      <c r="C136" s="8" t="n"/>
      <c r="D136" s="17">
        <f>IF(C136="","",IF(C136="Core",300,IF(C136="Pro",425,IF(C136="Full Desk",550,""))))</f>
        <v/>
      </c>
      <c r="E136" s="8" t="n"/>
      <c r="F136" s="8" t="n"/>
      <c r="G136" s="8" t="n"/>
      <c r="H136" s="17">
        <f>IF(D136="","",IF(F136="Yes",0,IF(G136="Yes",0,IF(E136=0,0,D136))))</f>
        <v/>
      </c>
      <c r="I136" s="8" t="n"/>
      <c r="J136" s="8" t="n"/>
      <c r="K136" s="8" t="n"/>
    </row>
    <row r="137">
      <c r="A137" s="9" t="n"/>
      <c r="B137" s="8" t="n"/>
      <c r="C137" s="8" t="n"/>
      <c r="D137" s="17">
        <f>IF(C137="","",IF(C137="Core",300,IF(C137="Pro",425,IF(C137="Full Desk",550,""))))</f>
        <v/>
      </c>
      <c r="E137" s="8" t="n"/>
      <c r="F137" s="8" t="n"/>
      <c r="G137" s="8" t="n"/>
      <c r="H137" s="17">
        <f>IF(D137="","",IF(F137="Yes",0,IF(G137="Yes",0,IF(E137=0,0,D137))))</f>
        <v/>
      </c>
      <c r="I137" s="8" t="n"/>
      <c r="J137" s="8" t="n"/>
      <c r="K137" s="8" t="n"/>
    </row>
    <row r="138">
      <c r="A138" s="9" t="n"/>
      <c r="B138" s="8" t="n"/>
      <c r="C138" s="8" t="n"/>
      <c r="D138" s="17">
        <f>IF(C138="","",IF(C138="Core",300,IF(C138="Pro",425,IF(C138="Full Desk",550,""))))</f>
        <v/>
      </c>
      <c r="E138" s="8" t="n"/>
      <c r="F138" s="8" t="n"/>
      <c r="G138" s="8" t="n"/>
      <c r="H138" s="17">
        <f>IF(D138="","",IF(F138="Yes",0,IF(G138="Yes",0,IF(E138=0,0,D138))))</f>
        <v/>
      </c>
      <c r="I138" s="8" t="n"/>
      <c r="J138" s="8" t="n"/>
      <c r="K138" s="8" t="n"/>
    </row>
    <row r="139">
      <c r="A139" s="9" t="n"/>
      <c r="B139" s="8" t="n"/>
      <c r="C139" s="8" t="n"/>
      <c r="D139" s="17">
        <f>IF(C139="","",IF(C139="Core",300,IF(C139="Pro",425,IF(C139="Full Desk",550,""))))</f>
        <v/>
      </c>
      <c r="E139" s="8" t="n"/>
      <c r="F139" s="8" t="n"/>
      <c r="G139" s="8" t="n"/>
      <c r="H139" s="17">
        <f>IF(D139="","",IF(F139="Yes",0,IF(G139="Yes",0,IF(E139=0,0,D139))))</f>
        <v/>
      </c>
      <c r="I139" s="8" t="n"/>
      <c r="J139" s="8" t="n"/>
      <c r="K139" s="8" t="n"/>
    </row>
    <row r="140">
      <c r="A140" s="9" t="n"/>
      <c r="B140" s="8" t="n"/>
      <c r="C140" s="8" t="n"/>
      <c r="D140" s="17">
        <f>IF(C140="","",IF(C140="Core",300,IF(C140="Pro",425,IF(C140="Full Desk",550,""))))</f>
        <v/>
      </c>
      <c r="E140" s="8" t="n"/>
      <c r="F140" s="8" t="n"/>
      <c r="G140" s="8" t="n"/>
      <c r="H140" s="17">
        <f>IF(D140="","",IF(F140="Yes",0,IF(G140="Yes",0,IF(E140=0,0,D140))))</f>
        <v/>
      </c>
      <c r="I140" s="8" t="n"/>
      <c r="J140" s="8" t="n"/>
      <c r="K140" s="8" t="n"/>
    </row>
    <row r="141">
      <c r="A141" s="9" t="n"/>
      <c r="B141" s="8" t="n"/>
      <c r="C141" s="8" t="n"/>
      <c r="D141" s="17">
        <f>IF(C141="","",IF(C141="Core",300,IF(C141="Pro",425,IF(C141="Full Desk",550,""))))</f>
        <v/>
      </c>
      <c r="E141" s="8" t="n"/>
      <c r="F141" s="8" t="n"/>
      <c r="G141" s="8" t="n"/>
      <c r="H141" s="17">
        <f>IF(D141="","",IF(F141="Yes",0,IF(G141="Yes",0,IF(E141=0,0,D141))))</f>
        <v/>
      </c>
      <c r="I141" s="8" t="n"/>
      <c r="J141" s="8" t="n"/>
      <c r="K141" s="8" t="n"/>
    </row>
    <row r="142">
      <c r="A142" s="9" t="n"/>
      <c r="B142" s="8" t="n"/>
      <c r="C142" s="8" t="n"/>
      <c r="D142" s="17">
        <f>IF(C142="","",IF(C142="Core",300,IF(C142="Pro",425,IF(C142="Full Desk",550,""))))</f>
        <v/>
      </c>
      <c r="E142" s="8" t="n"/>
      <c r="F142" s="8" t="n"/>
      <c r="G142" s="8" t="n"/>
      <c r="H142" s="17">
        <f>IF(D142="","",IF(F142="Yes",0,IF(G142="Yes",0,IF(E142=0,0,D142))))</f>
        <v/>
      </c>
      <c r="I142" s="8" t="n"/>
      <c r="J142" s="8" t="n"/>
      <c r="K142" s="8" t="n"/>
    </row>
    <row r="143">
      <c r="A143" s="9" t="n"/>
      <c r="B143" s="8" t="n"/>
      <c r="C143" s="8" t="n"/>
      <c r="D143" s="17">
        <f>IF(C143="","",IF(C143="Core",300,IF(C143="Pro",425,IF(C143="Full Desk",550,""))))</f>
        <v/>
      </c>
      <c r="E143" s="8" t="n"/>
      <c r="F143" s="8" t="n"/>
      <c r="G143" s="8" t="n"/>
      <c r="H143" s="17">
        <f>IF(D143="","",IF(F143="Yes",0,IF(G143="Yes",0,IF(E143=0,0,D143))))</f>
        <v/>
      </c>
      <c r="I143" s="8" t="n"/>
      <c r="J143" s="8" t="n"/>
      <c r="K143" s="8" t="n"/>
    </row>
    <row r="144">
      <c r="A144" s="9" t="n"/>
      <c r="B144" s="8" t="n"/>
      <c r="C144" s="8" t="n"/>
      <c r="D144" s="17">
        <f>IF(C144="","",IF(C144="Core",300,IF(C144="Pro",425,IF(C144="Full Desk",550,""))))</f>
        <v/>
      </c>
      <c r="E144" s="8" t="n"/>
      <c r="F144" s="8" t="n"/>
      <c r="G144" s="8" t="n"/>
      <c r="H144" s="17">
        <f>IF(D144="","",IF(F144="Yes",0,IF(G144="Yes",0,IF(E144=0,0,D144))))</f>
        <v/>
      </c>
      <c r="I144" s="8" t="n"/>
      <c r="J144" s="8" t="n"/>
      <c r="K144" s="8" t="n"/>
    </row>
    <row r="145">
      <c r="A145" s="9" t="n"/>
      <c r="B145" s="8" t="n"/>
      <c r="C145" s="8" t="n"/>
      <c r="D145" s="17">
        <f>IF(C145="","",IF(C145="Core",300,IF(C145="Pro",425,IF(C145="Full Desk",550,""))))</f>
        <v/>
      </c>
      <c r="E145" s="8" t="n"/>
      <c r="F145" s="8" t="n"/>
      <c r="G145" s="8" t="n"/>
      <c r="H145" s="17">
        <f>IF(D145="","",IF(F145="Yes",0,IF(G145="Yes",0,IF(E145=0,0,D145))))</f>
        <v/>
      </c>
      <c r="I145" s="8" t="n"/>
      <c r="J145" s="8" t="n"/>
      <c r="K145" s="8" t="n"/>
    </row>
    <row r="146">
      <c r="A146" s="9" t="n"/>
      <c r="B146" s="8" t="n"/>
      <c r="C146" s="8" t="n"/>
      <c r="D146" s="17">
        <f>IF(C146="","",IF(C146="Core",300,IF(C146="Pro",425,IF(C146="Full Desk",550,""))))</f>
        <v/>
      </c>
      <c r="E146" s="8" t="n"/>
      <c r="F146" s="8" t="n"/>
      <c r="G146" s="8" t="n"/>
      <c r="H146" s="17">
        <f>IF(D146="","",IF(F146="Yes",0,IF(G146="Yes",0,IF(E146=0,0,D146))))</f>
        <v/>
      </c>
      <c r="I146" s="8" t="n"/>
      <c r="J146" s="8" t="n"/>
      <c r="K146" s="8" t="n"/>
    </row>
    <row r="147">
      <c r="A147" s="9" t="n"/>
      <c r="B147" s="8" t="n"/>
      <c r="C147" s="8" t="n"/>
      <c r="D147" s="17">
        <f>IF(C147="","",IF(C147="Core",300,IF(C147="Pro",425,IF(C147="Full Desk",550,""))))</f>
        <v/>
      </c>
      <c r="E147" s="8" t="n"/>
      <c r="F147" s="8" t="n"/>
      <c r="G147" s="8" t="n"/>
      <c r="H147" s="17">
        <f>IF(D147="","",IF(F147="Yes",0,IF(G147="Yes",0,IF(E147=0,0,D147))))</f>
        <v/>
      </c>
      <c r="I147" s="8" t="n"/>
      <c r="J147" s="8" t="n"/>
      <c r="K147" s="8" t="n"/>
    </row>
    <row r="148">
      <c r="A148" s="9" t="n"/>
      <c r="B148" s="8" t="n"/>
      <c r="C148" s="8" t="n"/>
      <c r="D148" s="17">
        <f>IF(C148="","",IF(C148="Core",300,IF(C148="Pro",425,IF(C148="Full Desk",550,""))))</f>
        <v/>
      </c>
      <c r="E148" s="8" t="n"/>
      <c r="F148" s="8" t="n"/>
      <c r="G148" s="8" t="n"/>
      <c r="H148" s="17">
        <f>IF(D148="","",IF(F148="Yes",0,IF(G148="Yes",0,IF(E148=0,0,D148))))</f>
        <v/>
      </c>
      <c r="I148" s="8" t="n"/>
      <c r="J148" s="8" t="n"/>
      <c r="K148" s="8" t="n"/>
    </row>
    <row r="149">
      <c r="A149" s="9" t="n"/>
      <c r="B149" s="8" t="n"/>
      <c r="C149" s="8" t="n"/>
      <c r="D149" s="17">
        <f>IF(C149="","",IF(C149="Core",300,IF(C149="Pro",425,IF(C149="Full Desk",550,""))))</f>
        <v/>
      </c>
      <c r="E149" s="8" t="n"/>
      <c r="F149" s="8" t="n"/>
      <c r="G149" s="8" t="n"/>
      <c r="H149" s="17">
        <f>IF(D149="","",IF(F149="Yes",0,IF(G149="Yes",0,IF(E149=0,0,D149))))</f>
        <v/>
      </c>
      <c r="I149" s="8" t="n"/>
      <c r="J149" s="8" t="n"/>
      <c r="K149" s="8" t="n"/>
    </row>
    <row r="150">
      <c r="A150" s="9" t="n"/>
      <c r="B150" s="8" t="n"/>
      <c r="C150" s="8" t="n"/>
      <c r="D150" s="17">
        <f>IF(C150="","",IF(C150="Core",300,IF(C150="Pro",425,IF(C150="Full Desk",550,""))))</f>
        <v/>
      </c>
      <c r="E150" s="8" t="n"/>
      <c r="F150" s="8" t="n"/>
      <c r="G150" s="8" t="n"/>
      <c r="H150" s="17">
        <f>IF(D150="","",IF(F150="Yes",0,IF(G150="Yes",0,IF(E150=0,0,D150))))</f>
        <v/>
      </c>
      <c r="I150" s="8" t="n"/>
      <c r="J150" s="8" t="n"/>
      <c r="K150" s="8" t="n"/>
    </row>
    <row r="151">
      <c r="A151" s="9" t="n"/>
      <c r="B151" s="8" t="n"/>
      <c r="C151" s="8" t="n"/>
      <c r="D151" s="17">
        <f>IF(C151="","",IF(C151="Core",300,IF(C151="Pro",425,IF(C151="Full Desk",550,""))))</f>
        <v/>
      </c>
      <c r="E151" s="8" t="n"/>
      <c r="F151" s="8" t="n"/>
      <c r="G151" s="8" t="n"/>
      <c r="H151" s="17">
        <f>IF(D151="","",IF(F151="Yes",0,IF(G151="Yes",0,IF(E151=0,0,D151))))</f>
        <v/>
      </c>
      <c r="I151" s="8" t="n"/>
      <c r="J151" s="8" t="n"/>
      <c r="K151" s="8" t="n"/>
    </row>
    <row r="152">
      <c r="A152" s="9" t="n"/>
      <c r="B152" s="8" t="n"/>
      <c r="C152" s="8" t="n"/>
      <c r="D152" s="17">
        <f>IF(C152="","",IF(C152="Core",300,IF(C152="Pro",425,IF(C152="Full Desk",550,""))))</f>
        <v/>
      </c>
      <c r="E152" s="8" t="n"/>
      <c r="F152" s="8" t="n"/>
      <c r="G152" s="8" t="n"/>
      <c r="H152" s="17">
        <f>IF(D152="","",IF(F152="Yes",0,IF(G152="Yes",0,IF(E152=0,0,D152))))</f>
        <v/>
      </c>
      <c r="I152" s="8" t="n"/>
      <c r="J152" s="8" t="n"/>
      <c r="K152" s="8" t="n"/>
    </row>
    <row r="153">
      <c r="A153" s="9" t="n"/>
      <c r="B153" s="8" t="n"/>
      <c r="C153" s="8" t="n"/>
      <c r="D153" s="17">
        <f>IF(C153="","",IF(C153="Core",300,IF(C153="Pro",425,IF(C153="Full Desk",550,""))))</f>
        <v/>
      </c>
      <c r="E153" s="8" t="n"/>
      <c r="F153" s="8" t="n"/>
      <c r="G153" s="8" t="n"/>
      <c r="H153" s="17">
        <f>IF(D153="","",IF(F153="Yes",0,IF(G153="Yes",0,IF(E153=0,0,D153))))</f>
        <v/>
      </c>
      <c r="I153" s="8" t="n"/>
      <c r="J153" s="8" t="n"/>
      <c r="K153" s="8" t="n"/>
    </row>
    <row r="154">
      <c r="A154" s="9" t="n"/>
      <c r="B154" s="8" t="n"/>
      <c r="C154" s="8" t="n"/>
      <c r="D154" s="17">
        <f>IF(C154="","",IF(C154="Core",300,IF(C154="Pro",425,IF(C154="Full Desk",550,""))))</f>
        <v/>
      </c>
      <c r="E154" s="8" t="n"/>
      <c r="F154" s="8" t="n"/>
      <c r="G154" s="8" t="n"/>
      <c r="H154" s="17">
        <f>IF(D154="","",IF(F154="Yes",0,IF(G154="Yes",0,IF(E154=0,0,D154))))</f>
        <v/>
      </c>
      <c r="I154" s="8" t="n"/>
      <c r="J154" s="8" t="n"/>
      <c r="K154" s="8" t="n"/>
    </row>
    <row r="155">
      <c r="A155" s="9" t="n"/>
      <c r="B155" s="8" t="n"/>
      <c r="C155" s="8" t="n"/>
      <c r="D155" s="17">
        <f>IF(C155="","",IF(C155="Core",300,IF(C155="Pro",425,IF(C155="Full Desk",550,""))))</f>
        <v/>
      </c>
      <c r="E155" s="8" t="n"/>
      <c r="F155" s="8" t="n"/>
      <c r="G155" s="8" t="n"/>
      <c r="H155" s="17">
        <f>IF(D155="","",IF(F155="Yes",0,IF(G155="Yes",0,IF(E155=0,0,D155))))</f>
        <v/>
      </c>
      <c r="I155" s="8" t="n"/>
      <c r="J155" s="8" t="n"/>
      <c r="K155" s="8" t="n"/>
    </row>
    <row r="156">
      <c r="A156" s="9" t="n"/>
      <c r="B156" s="8" t="n"/>
      <c r="C156" s="8" t="n"/>
      <c r="D156" s="17">
        <f>IF(C156="","",IF(C156="Core",300,IF(C156="Pro",425,IF(C156="Full Desk",550,""))))</f>
        <v/>
      </c>
      <c r="E156" s="8" t="n"/>
      <c r="F156" s="8" t="n"/>
      <c r="G156" s="8" t="n"/>
      <c r="H156" s="17">
        <f>IF(D156="","",IF(F156="Yes",0,IF(G156="Yes",0,IF(E156=0,0,D156))))</f>
        <v/>
      </c>
      <c r="I156" s="8" t="n"/>
      <c r="J156" s="8" t="n"/>
      <c r="K156" s="8" t="n"/>
    </row>
    <row r="157">
      <c r="A157" s="9" t="n"/>
      <c r="B157" s="8" t="n"/>
      <c r="C157" s="8" t="n"/>
      <c r="D157" s="17">
        <f>IF(C157="","",IF(C157="Core",300,IF(C157="Pro",425,IF(C157="Full Desk",550,""))))</f>
        <v/>
      </c>
      <c r="E157" s="8" t="n"/>
      <c r="F157" s="8" t="n"/>
      <c r="G157" s="8" t="n"/>
      <c r="H157" s="17">
        <f>IF(D157="","",IF(F157="Yes",0,IF(G157="Yes",0,IF(E157=0,0,D157))))</f>
        <v/>
      </c>
      <c r="I157" s="8" t="n"/>
      <c r="J157" s="8" t="n"/>
      <c r="K157" s="8" t="n"/>
    </row>
    <row r="158">
      <c r="A158" s="9" t="n"/>
      <c r="B158" s="8" t="n"/>
      <c r="C158" s="8" t="n"/>
      <c r="D158" s="17">
        <f>IF(C158="","",IF(C158="Core",300,IF(C158="Pro",425,IF(C158="Full Desk",550,""))))</f>
        <v/>
      </c>
      <c r="E158" s="8" t="n"/>
      <c r="F158" s="8" t="n"/>
      <c r="G158" s="8" t="n"/>
      <c r="H158" s="17">
        <f>IF(D158="","",IF(F158="Yes",0,IF(G158="Yes",0,IF(E158=0,0,D158))))</f>
        <v/>
      </c>
      <c r="I158" s="8" t="n"/>
      <c r="J158" s="8" t="n"/>
      <c r="K158" s="8" t="n"/>
    </row>
    <row r="159">
      <c r="A159" s="9" t="n"/>
      <c r="B159" s="8" t="n"/>
      <c r="C159" s="8" t="n"/>
      <c r="D159" s="17">
        <f>IF(C159="","",IF(C159="Core",300,IF(C159="Pro",425,IF(C159="Full Desk",550,""))))</f>
        <v/>
      </c>
      <c r="E159" s="8" t="n"/>
      <c r="F159" s="8" t="n"/>
      <c r="G159" s="8" t="n"/>
      <c r="H159" s="17">
        <f>IF(D159="","",IF(F159="Yes",0,IF(G159="Yes",0,IF(E159=0,0,D159))))</f>
        <v/>
      </c>
      <c r="I159" s="8" t="n"/>
      <c r="J159" s="8" t="n"/>
      <c r="K159" s="8" t="n"/>
    </row>
    <row r="160">
      <c r="A160" s="9" t="n"/>
      <c r="B160" s="8" t="n"/>
      <c r="C160" s="8" t="n"/>
      <c r="D160" s="17">
        <f>IF(C160="","",IF(C160="Core",300,IF(C160="Pro",425,IF(C160="Full Desk",550,""))))</f>
        <v/>
      </c>
      <c r="E160" s="8" t="n"/>
      <c r="F160" s="8" t="n"/>
      <c r="G160" s="8" t="n"/>
      <c r="H160" s="17">
        <f>IF(D160="","",IF(F160="Yes",0,IF(G160="Yes",0,IF(E160=0,0,D160))))</f>
        <v/>
      </c>
      <c r="I160" s="8" t="n"/>
      <c r="J160" s="8" t="n"/>
      <c r="K160" s="8" t="n"/>
    </row>
    <row r="161">
      <c r="A161" s="9" t="n"/>
      <c r="B161" s="8" t="n"/>
      <c r="C161" s="8" t="n"/>
      <c r="D161" s="17">
        <f>IF(C161="","",IF(C161="Core",300,IF(C161="Pro",425,IF(C161="Full Desk",550,""))))</f>
        <v/>
      </c>
      <c r="E161" s="8" t="n"/>
      <c r="F161" s="8" t="n"/>
      <c r="G161" s="8" t="n"/>
      <c r="H161" s="17">
        <f>IF(D161="","",IF(F161="Yes",0,IF(G161="Yes",0,IF(E161=0,0,D161))))</f>
        <v/>
      </c>
      <c r="I161" s="8" t="n"/>
      <c r="J161" s="8" t="n"/>
      <c r="K161" s="8" t="n"/>
    </row>
    <row r="162">
      <c r="A162" s="9" t="n"/>
      <c r="B162" s="8" t="n"/>
      <c r="C162" s="8" t="n"/>
      <c r="D162" s="17">
        <f>IF(C162="","",IF(C162="Core",300,IF(C162="Pro",425,IF(C162="Full Desk",550,""))))</f>
        <v/>
      </c>
      <c r="E162" s="8" t="n"/>
      <c r="F162" s="8" t="n"/>
      <c r="G162" s="8" t="n"/>
      <c r="H162" s="17">
        <f>IF(D162="","",IF(F162="Yes",0,IF(G162="Yes",0,IF(E162=0,0,D162))))</f>
        <v/>
      </c>
      <c r="I162" s="8" t="n"/>
      <c r="J162" s="8" t="n"/>
      <c r="K162" s="8" t="n"/>
    </row>
    <row r="163">
      <c r="A163" s="9" t="n"/>
      <c r="B163" s="8" t="n"/>
      <c r="C163" s="8" t="n"/>
      <c r="D163" s="17">
        <f>IF(C163="","",IF(C163="Core",300,IF(C163="Pro",425,IF(C163="Full Desk",550,""))))</f>
        <v/>
      </c>
      <c r="E163" s="8" t="n"/>
      <c r="F163" s="8" t="n"/>
      <c r="G163" s="8" t="n"/>
      <c r="H163" s="17">
        <f>IF(D163="","",IF(F163="Yes",0,IF(G163="Yes",0,IF(E163=0,0,D163))))</f>
        <v/>
      </c>
      <c r="I163" s="8" t="n"/>
      <c r="J163" s="8" t="n"/>
      <c r="K163" s="8" t="n"/>
    </row>
    <row r="164">
      <c r="A164" s="9" t="n"/>
      <c r="B164" s="8" t="n"/>
      <c r="C164" s="8" t="n"/>
      <c r="D164" s="17">
        <f>IF(C164="","",IF(C164="Core",300,IF(C164="Pro",425,IF(C164="Full Desk",550,""))))</f>
        <v/>
      </c>
      <c r="E164" s="8" t="n"/>
      <c r="F164" s="8" t="n"/>
      <c r="G164" s="8" t="n"/>
      <c r="H164" s="17">
        <f>IF(D164="","",IF(F164="Yes",0,IF(G164="Yes",0,IF(E164=0,0,D164))))</f>
        <v/>
      </c>
      <c r="I164" s="8" t="n"/>
      <c r="J164" s="8" t="n"/>
      <c r="K164" s="8" t="n"/>
    </row>
    <row r="165">
      <c r="A165" s="9" t="n"/>
      <c r="B165" s="8" t="n"/>
      <c r="C165" s="8" t="n"/>
      <c r="D165" s="17">
        <f>IF(C165="","",IF(C165="Core",300,IF(C165="Pro",425,IF(C165="Full Desk",550,""))))</f>
        <v/>
      </c>
      <c r="E165" s="8" t="n"/>
      <c r="F165" s="8" t="n"/>
      <c r="G165" s="8" t="n"/>
      <c r="H165" s="17">
        <f>IF(D165="","",IF(F165="Yes",0,IF(G165="Yes",0,IF(E165=0,0,D165))))</f>
        <v/>
      </c>
      <c r="I165" s="8" t="n"/>
      <c r="J165" s="8" t="n"/>
      <c r="K165" s="8" t="n"/>
    </row>
    <row r="166">
      <c r="A166" s="9" t="n"/>
      <c r="B166" s="8" t="n"/>
      <c r="C166" s="8" t="n"/>
      <c r="D166" s="17">
        <f>IF(C166="","",IF(C166="Core",300,IF(C166="Pro",425,IF(C166="Full Desk",550,""))))</f>
        <v/>
      </c>
      <c r="E166" s="8" t="n"/>
      <c r="F166" s="8" t="n"/>
      <c r="G166" s="8" t="n"/>
      <c r="H166" s="17">
        <f>IF(D166="","",IF(F166="Yes",0,IF(G166="Yes",0,IF(E166=0,0,D166))))</f>
        <v/>
      </c>
      <c r="I166" s="8" t="n"/>
      <c r="J166" s="8" t="n"/>
      <c r="K166" s="8" t="n"/>
    </row>
    <row r="167">
      <c r="A167" s="9" t="n"/>
      <c r="B167" s="8" t="n"/>
      <c r="C167" s="8" t="n"/>
      <c r="D167" s="17">
        <f>IF(C167="","",IF(C167="Core",300,IF(C167="Pro",425,IF(C167="Full Desk",550,""))))</f>
        <v/>
      </c>
      <c r="E167" s="8" t="n"/>
      <c r="F167" s="8" t="n"/>
      <c r="G167" s="8" t="n"/>
      <c r="H167" s="17">
        <f>IF(D167="","",IF(F167="Yes",0,IF(G167="Yes",0,IF(E167=0,0,D167))))</f>
        <v/>
      </c>
      <c r="I167" s="8" t="n"/>
      <c r="J167" s="8" t="n"/>
      <c r="K167" s="8" t="n"/>
    </row>
    <row r="168">
      <c r="A168" s="9" t="n"/>
      <c r="B168" s="8" t="n"/>
      <c r="C168" s="8" t="n"/>
      <c r="D168" s="17">
        <f>IF(C168="","",IF(C168="Core",300,IF(C168="Pro",425,IF(C168="Full Desk",550,""))))</f>
        <v/>
      </c>
      <c r="E168" s="8" t="n"/>
      <c r="F168" s="8" t="n"/>
      <c r="G168" s="8" t="n"/>
      <c r="H168" s="17">
        <f>IF(D168="","",IF(F168="Yes",0,IF(G168="Yes",0,IF(E168=0,0,D168))))</f>
        <v/>
      </c>
      <c r="I168" s="8" t="n"/>
      <c r="J168" s="8" t="n"/>
      <c r="K168" s="8" t="n"/>
    </row>
    <row r="169">
      <c r="A169" s="9" t="n"/>
      <c r="B169" s="8" t="n"/>
      <c r="C169" s="8" t="n"/>
      <c r="D169" s="17">
        <f>IF(C169="","",IF(C169="Core",300,IF(C169="Pro",425,IF(C169="Full Desk",550,""))))</f>
        <v/>
      </c>
      <c r="E169" s="8" t="n"/>
      <c r="F169" s="8" t="n"/>
      <c r="G169" s="8" t="n"/>
      <c r="H169" s="17">
        <f>IF(D169="","",IF(F169="Yes",0,IF(G169="Yes",0,IF(E169=0,0,D169))))</f>
        <v/>
      </c>
      <c r="I169" s="8" t="n"/>
      <c r="J169" s="8" t="n"/>
      <c r="K169" s="8" t="n"/>
    </row>
    <row r="170">
      <c r="A170" s="9" t="n"/>
      <c r="B170" s="8" t="n"/>
      <c r="C170" s="8" t="n"/>
      <c r="D170" s="17">
        <f>IF(C170="","",IF(C170="Core",300,IF(C170="Pro",425,IF(C170="Full Desk",550,""))))</f>
        <v/>
      </c>
      <c r="E170" s="8" t="n"/>
      <c r="F170" s="8" t="n"/>
      <c r="G170" s="8" t="n"/>
      <c r="H170" s="17">
        <f>IF(D170="","",IF(F170="Yes",0,IF(G170="Yes",0,IF(E170=0,0,D170))))</f>
        <v/>
      </c>
      <c r="I170" s="8" t="n"/>
      <c r="J170" s="8" t="n"/>
      <c r="K170" s="8" t="n"/>
    </row>
    <row r="171">
      <c r="A171" s="9" t="n"/>
      <c r="B171" s="8" t="n"/>
      <c r="C171" s="8" t="n"/>
      <c r="D171" s="17">
        <f>IF(C171="","",IF(C171="Core",300,IF(C171="Pro",425,IF(C171="Full Desk",550,""))))</f>
        <v/>
      </c>
      <c r="E171" s="8" t="n"/>
      <c r="F171" s="8" t="n"/>
      <c r="G171" s="8" t="n"/>
      <c r="H171" s="17">
        <f>IF(D171="","",IF(F171="Yes",0,IF(G171="Yes",0,IF(E171=0,0,D171))))</f>
        <v/>
      </c>
      <c r="I171" s="8" t="n"/>
      <c r="J171" s="8" t="n"/>
      <c r="K171" s="8" t="n"/>
    </row>
    <row r="172">
      <c r="A172" s="9" t="n"/>
      <c r="B172" s="8" t="n"/>
      <c r="C172" s="8" t="n"/>
      <c r="D172" s="17">
        <f>IF(C172="","",IF(C172="Core",300,IF(C172="Pro",425,IF(C172="Full Desk",550,""))))</f>
        <v/>
      </c>
      <c r="E172" s="8" t="n"/>
      <c r="F172" s="8" t="n"/>
      <c r="G172" s="8" t="n"/>
      <c r="H172" s="17">
        <f>IF(D172="","",IF(F172="Yes",0,IF(G172="Yes",0,IF(E172=0,0,D172))))</f>
        <v/>
      </c>
      <c r="I172" s="8" t="n"/>
      <c r="J172" s="8" t="n"/>
      <c r="K172" s="8" t="n"/>
    </row>
    <row r="173">
      <c r="A173" s="9" t="n"/>
      <c r="B173" s="8" t="n"/>
      <c r="C173" s="8" t="n"/>
      <c r="D173" s="17">
        <f>IF(C173="","",IF(C173="Core",300,IF(C173="Pro",425,IF(C173="Full Desk",550,""))))</f>
        <v/>
      </c>
      <c r="E173" s="8" t="n"/>
      <c r="F173" s="8" t="n"/>
      <c r="G173" s="8" t="n"/>
      <c r="H173" s="17">
        <f>IF(D173="","",IF(F173="Yes",0,IF(G173="Yes",0,IF(E173=0,0,D173))))</f>
        <v/>
      </c>
      <c r="I173" s="8" t="n"/>
      <c r="J173" s="8" t="n"/>
      <c r="K173" s="8" t="n"/>
    </row>
    <row r="174">
      <c r="A174" s="9" t="n"/>
      <c r="B174" s="8" t="n"/>
      <c r="C174" s="8" t="n"/>
      <c r="D174" s="17">
        <f>IF(C174="","",IF(C174="Core",300,IF(C174="Pro",425,IF(C174="Full Desk",550,""))))</f>
        <v/>
      </c>
      <c r="E174" s="8" t="n"/>
      <c r="F174" s="8" t="n"/>
      <c r="G174" s="8" t="n"/>
      <c r="H174" s="17">
        <f>IF(D174="","",IF(F174="Yes",0,IF(G174="Yes",0,IF(E174=0,0,D174))))</f>
        <v/>
      </c>
      <c r="I174" s="8" t="n"/>
      <c r="J174" s="8" t="n"/>
      <c r="K174" s="8" t="n"/>
    </row>
    <row r="175">
      <c r="A175" s="9" t="n"/>
      <c r="B175" s="8" t="n"/>
      <c r="C175" s="8" t="n"/>
      <c r="D175" s="17">
        <f>IF(C175="","",IF(C175="Core",300,IF(C175="Pro",425,IF(C175="Full Desk",550,""))))</f>
        <v/>
      </c>
      <c r="E175" s="8" t="n"/>
      <c r="F175" s="8" t="n"/>
      <c r="G175" s="8" t="n"/>
      <c r="H175" s="17">
        <f>IF(D175="","",IF(F175="Yes",0,IF(G175="Yes",0,IF(E175=0,0,D175))))</f>
        <v/>
      </c>
      <c r="I175" s="8" t="n"/>
      <c r="J175" s="8" t="n"/>
      <c r="K175" s="8" t="n"/>
    </row>
    <row r="176">
      <c r="A176" s="9" t="n"/>
      <c r="B176" s="8" t="n"/>
      <c r="C176" s="8" t="n"/>
      <c r="D176" s="17">
        <f>IF(C176="","",IF(C176="Core",300,IF(C176="Pro",425,IF(C176="Full Desk",550,""))))</f>
        <v/>
      </c>
      <c r="E176" s="8" t="n"/>
      <c r="F176" s="8" t="n"/>
      <c r="G176" s="8" t="n"/>
      <c r="H176" s="17">
        <f>IF(D176="","",IF(F176="Yes",0,IF(G176="Yes",0,IF(E176=0,0,D176))))</f>
        <v/>
      </c>
      <c r="I176" s="8" t="n"/>
      <c r="J176" s="8" t="n"/>
      <c r="K176" s="8" t="n"/>
    </row>
    <row r="177">
      <c r="A177" s="9" t="n"/>
      <c r="B177" s="8" t="n"/>
      <c r="C177" s="8" t="n"/>
      <c r="D177" s="17">
        <f>IF(C177="","",IF(C177="Core",300,IF(C177="Pro",425,IF(C177="Full Desk",550,""))))</f>
        <v/>
      </c>
      <c r="E177" s="8" t="n"/>
      <c r="F177" s="8" t="n"/>
      <c r="G177" s="8" t="n"/>
      <c r="H177" s="17">
        <f>IF(D177="","",IF(F177="Yes",0,IF(G177="Yes",0,IF(E177=0,0,D177))))</f>
        <v/>
      </c>
      <c r="I177" s="8" t="n"/>
      <c r="J177" s="8" t="n"/>
      <c r="K177" s="8" t="n"/>
    </row>
    <row r="178">
      <c r="A178" s="9" t="n"/>
      <c r="B178" s="8" t="n"/>
      <c r="C178" s="8" t="n"/>
      <c r="D178" s="17">
        <f>IF(C178="","",IF(C178="Core",300,IF(C178="Pro",425,IF(C178="Full Desk",550,""))))</f>
        <v/>
      </c>
      <c r="E178" s="8" t="n"/>
      <c r="F178" s="8" t="n"/>
      <c r="G178" s="8" t="n"/>
      <c r="H178" s="17">
        <f>IF(D178="","",IF(F178="Yes",0,IF(G178="Yes",0,IF(E178=0,0,D178))))</f>
        <v/>
      </c>
      <c r="I178" s="8" t="n"/>
      <c r="J178" s="8" t="n"/>
      <c r="K178" s="8" t="n"/>
    </row>
    <row r="179">
      <c r="A179" s="9" t="n"/>
      <c r="B179" s="8" t="n"/>
      <c r="C179" s="8" t="n"/>
      <c r="D179" s="17">
        <f>IF(C179="","",IF(C179="Core",300,IF(C179="Pro",425,IF(C179="Full Desk",550,""))))</f>
        <v/>
      </c>
      <c r="E179" s="8" t="n"/>
      <c r="F179" s="8" t="n"/>
      <c r="G179" s="8" t="n"/>
      <c r="H179" s="17">
        <f>IF(D179="","",IF(F179="Yes",0,IF(G179="Yes",0,IF(E179=0,0,D179))))</f>
        <v/>
      </c>
      <c r="I179" s="8" t="n"/>
      <c r="J179" s="8" t="n"/>
      <c r="K179" s="8" t="n"/>
    </row>
    <row r="180">
      <c r="A180" s="9" t="n"/>
      <c r="B180" s="8" t="n"/>
      <c r="C180" s="8" t="n"/>
      <c r="D180" s="17">
        <f>IF(C180="","",IF(C180="Core",300,IF(C180="Pro",425,IF(C180="Full Desk",550,""))))</f>
        <v/>
      </c>
      <c r="E180" s="8" t="n"/>
      <c r="F180" s="8" t="n"/>
      <c r="G180" s="8" t="n"/>
      <c r="H180" s="17">
        <f>IF(D180="","",IF(F180="Yes",0,IF(G180="Yes",0,IF(E180=0,0,D180))))</f>
        <v/>
      </c>
      <c r="I180" s="8" t="n"/>
      <c r="J180" s="8" t="n"/>
      <c r="K180" s="8" t="n"/>
    </row>
    <row r="181">
      <c r="A181" s="9" t="n"/>
      <c r="B181" s="8" t="n"/>
      <c r="C181" s="8" t="n"/>
      <c r="D181" s="17">
        <f>IF(C181="","",IF(C181="Core",300,IF(C181="Pro",425,IF(C181="Full Desk",550,""))))</f>
        <v/>
      </c>
      <c r="E181" s="8" t="n"/>
      <c r="F181" s="8" t="n"/>
      <c r="G181" s="8" t="n"/>
      <c r="H181" s="17">
        <f>IF(D181="","",IF(F181="Yes",0,IF(G181="Yes",0,IF(E181=0,0,D181))))</f>
        <v/>
      </c>
      <c r="I181" s="8" t="n"/>
      <c r="J181" s="8" t="n"/>
      <c r="K181" s="8" t="n"/>
    </row>
    <row r="182">
      <c r="A182" s="9" t="n"/>
      <c r="B182" s="8" t="n"/>
      <c r="C182" s="8" t="n"/>
      <c r="D182" s="17">
        <f>IF(C182="","",IF(C182="Core",300,IF(C182="Pro",425,IF(C182="Full Desk",550,""))))</f>
        <v/>
      </c>
      <c r="E182" s="8" t="n"/>
      <c r="F182" s="8" t="n"/>
      <c r="G182" s="8" t="n"/>
      <c r="H182" s="17">
        <f>IF(D182="","",IF(F182="Yes",0,IF(G182="Yes",0,IF(E182=0,0,D182))))</f>
        <v/>
      </c>
      <c r="I182" s="8" t="n"/>
      <c r="J182" s="8" t="n"/>
      <c r="K182" s="8" t="n"/>
    </row>
    <row r="183">
      <c r="A183" s="9" t="n"/>
      <c r="B183" s="8" t="n"/>
      <c r="C183" s="8" t="n"/>
      <c r="D183" s="17">
        <f>IF(C183="","",IF(C183="Core",300,IF(C183="Pro",425,IF(C183="Full Desk",550,""))))</f>
        <v/>
      </c>
      <c r="E183" s="8" t="n"/>
      <c r="F183" s="8" t="n"/>
      <c r="G183" s="8" t="n"/>
      <c r="H183" s="17">
        <f>IF(D183="","",IF(F183="Yes",0,IF(G183="Yes",0,IF(E183=0,0,D183))))</f>
        <v/>
      </c>
      <c r="I183" s="8" t="n"/>
      <c r="J183" s="8" t="n"/>
      <c r="K183" s="8" t="n"/>
    </row>
    <row r="184">
      <c r="A184" s="9" t="n"/>
      <c r="B184" s="8" t="n"/>
      <c r="C184" s="8" t="n"/>
      <c r="D184" s="17">
        <f>IF(C184="","",IF(C184="Core",300,IF(C184="Pro",425,IF(C184="Full Desk",550,""))))</f>
        <v/>
      </c>
      <c r="E184" s="8" t="n"/>
      <c r="F184" s="8" t="n"/>
      <c r="G184" s="8" t="n"/>
      <c r="H184" s="17">
        <f>IF(D184="","",IF(F184="Yes",0,IF(G184="Yes",0,IF(E184=0,0,D184))))</f>
        <v/>
      </c>
      <c r="I184" s="8" t="n"/>
      <c r="J184" s="8" t="n"/>
      <c r="K184" s="8" t="n"/>
    </row>
    <row r="185">
      <c r="A185" s="9" t="n"/>
      <c r="B185" s="8" t="n"/>
      <c r="C185" s="8" t="n"/>
      <c r="D185" s="17">
        <f>IF(C185="","",IF(C185="Core",300,IF(C185="Pro",425,IF(C185="Full Desk",550,""))))</f>
        <v/>
      </c>
      <c r="E185" s="8" t="n"/>
      <c r="F185" s="8" t="n"/>
      <c r="G185" s="8" t="n"/>
      <c r="H185" s="17">
        <f>IF(D185="","",IF(F185="Yes",0,IF(G185="Yes",0,IF(E185=0,0,D185))))</f>
        <v/>
      </c>
      <c r="I185" s="8" t="n"/>
      <c r="J185" s="8" t="n"/>
      <c r="K185" s="8" t="n"/>
    </row>
    <row r="186">
      <c r="A186" s="9" t="n"/>
      <c r="B186" s="8" t="n"/>
      <c r="C186" s="8" t="n"/>
      <c r="D186" s="17">
        <f>IF(C186="","",IF(C186="Core",300,IF(C186="Pro",425,IF(C186="Full Desk",550,""))))</f>
        <v/>
      </c>
      <c r="E186" s="8" t="n"/>
      <c r="F186" s="8" t="n"/>
      <c r="G186" s="8" t="n"/>
      <c r="H186" s="17">
        <f>IF(D186="","",IF(F186="Yes",0,IF(G186="Yes",0,IF(E186=0,0,D186))))</f>
        <v/>
      </c>
      <c r="I186" s="8" t="n"/>
      <c r="J186" s="8" t="n"/>
      <c r="K186" s="8" t="n"/>
    </row>
    <row r="187">
      <c r="A187" s="9" t="n"/>
      <c r="B187" s="8" t="n"/>
      <c r="C187" s="8" t="n"/>
      <c r="D187" s="17">
        <f>IF(C187="","",IF(C187="Core",300,IF(C187="Pro",425,IF(C187="Full Desk",550,""))))</f>
        <v/>
      </c>
      <c r="E187" s="8" t="n"/>
      <c r="F187" s="8" t="n"/>
      <c r="G187" s="8" t="n"/>
      <c r="H187" s="17">
        <f>IF(D187="","",IF(F187="Yes",0,IF(G187="Yes",0,IF(E187=0,0,D187))))</f>
        <v/>
      </c>
      <c r="I187" s="8" t="n"/>
      <c r="J187" s="8" t="n"/>
      <c r="K187" s="8" t="n"/>
    </row>
    <row r="188">
      <c r="A188" s="9" t="n"/>
      <c r="B188" s="8" t="n"/>
      <c r="C188" s="8" t="n"/>
      <c r="D188" s="17">
        <f>IF(C188="","",IF(C188="Core",300,IF(C188="Pro",425,IF(C188="Full Desk",550,""))))</f>
        <v/>
      </c>
      <c r="E188" s="8" t="n"/>
      <c r="F188" s="8" t="n"/>
      <c r="G188" s="8" t="n"/>
      <c r="H188" s="17">
        <f>IF(D188="","",IF(F188="Yes",0,IF(G188="Yes",0,IF(E188=0,0,D188))))</f>
        <v/>
      </c>
      <c r="I188" s="8" t="n"/>
      <c r="J188" s="8" t="n"/>
      <c r="K188" s="8" t="n"/>
    </row>
    <row r="189">
      <c r="A189" s="9" t="n"/>
      <c r="B189" s="8" t="n"/>
      <c r="C189" s="8" t="n"/>
      <c r="D189" s="17">
        <f>IF(C189="","",IF(C189="Core",300,IF(C189="Pro",425,IF(C189="Full Desk",550,""))))</f>
        <v/>
      </c>
      <c r="E189" s="8" t="n"/>
      <c r="F189" s="8" t="n"/>
      <c r="G189" s="8" t="n"/>
      <c r="H189" s="17">
        <f>IF(D189="","",IF(F189="Yes",0,IF(G189="Yes",0,IF(E189=0,0,D189))))</f>
        <v/>
      </c>
      <c r="I189" s="8" t="n"/>
      <c r="J189" s="8" t="n"/>
      <c r="K189" s="8" t="n"/>
    </row>
    <row r="190">
      <c r="A190" s="9" t="n"/>
      <c r="B190" s="8" t="n"/>
      <c r="C190" s="8" t="n"/>
      <c r="D190" s="17">
        <f>IF(C190="","",IF(C190="Core",300,IF(C190="Pro",425,IF(C190="Full Desk",550,""))))</f>
        <v/>
      </c>
      <c r="E190" s="8" t="n"/>
      <c r="F190" s="8" t="n"/>
      <c r="G190" s="8" t="n"/>
      <c r="H190" s="17">
        <f>IF(D190="","",IF(F190="Yes",0,IF(G190="Yes",0,IF(E190=0,0,D190))))</f>
        <v/>
      </c>
      <c r="I190" s="8" t="n"/>
      <c r="J190" s="8" t="n"/>
      <c r="K190" s="8" t="n"/>
    </row>
    <row r="191">
      <c r="A191" s="9" t="n"/>
      <c r="B191" s="8" t="n"/>
      <c r="C191" s="8" t="n"/>
      <c r="D191" s="17">
        <f>IF(C191="","",IF(C191="Core",300,IF(C191="Pro",425,IF(C191="Full Desk",550,""))))</f>
        <v/>
      </c>
      <c r="E191" s="8" t="n"/>
      <c r="F191" s="8" t="n"/>
      <c r="G191" s="8" t="n"/>
      <c r="H191" s="17">
        <f>IF(D191="","",IF(F191="Yes",0,IF(G191="Yes",0,IF(E191=0,0,D191))))</f>
        <v/>
      </c>
      <c r="I191" s="8" t="n"/>
      <c r="J191" s="8" t="n"/>
      <c r="K191" s="8" t="n"/>
    </row>
    <row r="192">
      <c r="A192" s="9" t="n"/>
      <c r="B192" s="8" t="n"/>
      <c r="C192" s="8" t="n"/>
      <c r="D192" s="17">
        <f>IF(C192="","",IF(C192="Core",300,IF(C192="Pro",425,IF(C192="Full Desk",550,""))))</f>
        <v/>
      </c>
      <c r="E192" s="8" t="n"/>
      <c r="F192" s="8" t="n"/>
      <c r="G192" s="8" t="n"/>
      <c r="H192" s="17">
        <f>IF(D192="","",IF(F192="Yes",0,IF(G192="Yes",0,IF(E192=0,0,D192))))</f>
        <v/>
      </c>
      <c r="I192" s="8" t="n"/>
      <c r="J192" s="8" t="n"/>
      <c r="K192" s="8" t="n"/>
    </row>
    <row r="193">
      <c r="A193" s="9" t="n"/>
      <c r="B193" s="8" t="n"/>
      <c r="C193" s="8" t="n"/>
      <c r="D193" s="17">
        <f>IF(C193="","",IF(C193="Core",300,IF(C193="Pro",425,IF(C193="Full Desk",550,""))))</f>
        <v/>
      </c>
      <c r="E193" s="8" t="n"/>
      <c r="F193" s="8" t="n"/>
      <c r="G193" s="8" t="n"/>
      <c r="H193" s="17">
        <f>IF(D193="","",IF(F193="Yes",0,IF(G193="Yes",0,IF(E193=0,0,D193))))</f>
        <v/>
      </c>
      <c r="I193" s="8" t="n"/>
      <c r="J193" s="8" t="n"/>
      <c r="K193" s="8" t="n"/>
    </row>
    <row r="194">
      <c r="A194" s="9" t="n"/>
      <c r="B194" s="8" t="n"/>
      <c r="C194" s="8" t="n"/>
      <c r="D194" s="17">
        <f>IF(C194="","",IF(C194="Core",300,IF(C194="Pro",425,IF(C194="Full Desk",550,""))))</f>
        <v/>
      </c>
      <c r="E194" s="8" t="n"/>
      <c r="F194" s="8" t="n"/>
      <c r="G194" s="8" t="n"/>
      <c r="H194" s="17">
        <f>IF(D194="","",IF(F194="Yes",0,IF(G194="Yes",0,IF(E194=0,0,D194))))</f>
        <v/>
      </c>
      <c r="I194" s="8" t="n"/>
      <c r="J194" s="8" t="n"/>
      <c r="K194" s="8" t="n"/>
    </row>
    <row r="195">
      <c r="A195" s="9" t="n"/>
      <c r="B195" s="8" t="n"/>
      <c r="C195" s="8" t="n"/>
      <c r="D195" s="17">
        <f>IF(C195="","",IF(C195="Core",300,IF(C195="Pro",425,IF(C195="Full Desk",550,""))))</f>
        <v/>
      </c>
      <c r="E195" s="8" t="n"/>
      <c r="F195" s="8" t="n"/>
      <c r="G195" s="8" t="n"/>
      <c r="H195" s="17">
        <f>IF(D195="","",IF(F195="Yes",0,IF(G195="Yes",0,IF(E195=0,0,D195))))</f>
        <v/>
      </c>
      <c r="I195" s="8" t="n"/>
      <c r="J195" s="8" t="n"/>
      <c r="K195" s="8" t="n"/>
    </row>
    <row r="196">
      <c r="A196" s="9" t="n"/>
      <c r="B196" s="8" t="n"/>
      <c r="C196" s="8" t="n"/>
      <c r="D196" s="17">
        <f>IF(C196="","",IF(C196="Core",300,IF(C196="Pro",425,IF(C196="Full Desk",550,""))))</f>
        <v/>
      </c>
      <c r="E196" s="8" t="n"/>
      <c r="F196" s="8" t="n"/>
      <c r="G196" s="8" t="n"/>
      <c r="H196" s="17">
        <f>IF(D196="","",IF(F196="Yes",0,IF(G196="Yes",0,IF(E196=0,0,D196))))</f>
        <v/>
      </c>
      <c r="I196" s="8" t="n"/>
      <c r="J196" s="8" t="n"/>
      <c r="K196" s="8" t="n"/>
    </row>
    <row r="197">
      <c r="A197" s="9" t="n"/>
      <c r="B197" s="8" t="n"/>
      <c r="C197" s="8" t="n"/>
      <c r="D197" s="17">
        <f>IF(C197="","",IF(C197="Core",300,IF(C197="Pro",425,IF(C197="Full Desk",550,""))))</f>
        <v/>
      </c>
      <c r="E197" s="8" t="n"/>
      <c r="F197" s="8" t="n"/>
      <c r="G197" s="8" t="n"/>
      <c r="H197" s="17">
        <f>IF(D197="","",IF(F197="Yes",0,IF(G197="Yes",0,IF(E197=0,0,D197))))</f>
        <v/>
      </c>
      <c r="I197" s="8" t="n"/>
      <c r="J197" s="8" t="n"/>
      <c r="K197" s="8" t="n"/>
    </row>
    <row r="198">
      <c r="A198" s="9" t="n"/>
      <c r="B198" s="8" t="n"/>
      <c r="C198" s="8" t="n"/>
      <c r="D198" s="17">
        <f>IF(C198="","",IF(C198="Core",300,IF(C198="Pro",425,IF(C198="Full Desk",550,""))))</f>
        <v/>
      </c>
      <c r="E198" s="8" t="n"/>
      <c r="F198" s="8" t="n"/>
      <c r="G198" s="8" t="n"/>
      <c r="H198" s="17">
        <f>IF(D198="","",IF(F198="Yes",0,IF(G198="Yes",0,IF(E198=0,0,D198))))</f>
        <v/>
      </c>
      <c r="I198" s="8" t="n"/>
      <c r="J198" s="8" t="n"/>
      <c r="K198" s="8" t="n"/>
    </row>
    <row r="199">
      <c r="A199" s="9" t="n"/>
      <c r="B199" s="8" t="n"/>
      <c r="C199" s="8" t="n"/>
      <c r="D199" s="17">
        <f>IF(C199="","",IF(C199="Core",300,IF(C199="Pro",425,IF(C199="Full Desk",550,""))))</f>
        <v/>
      </c>
      <c r="E199" s="8" t="n"/>
      <c r="F199" s="8" t="n"/>
      <c r="G199" s="8" t="n"/>
      <c r="H199" s="17">
        <f>IF(D199="","",IF(F199="Yes",0,IF(G199="Yes",0,IF(E199=0,0,D199))))</f>
        <v/>
      </c>
      <c r="I199" s="8" t="n"/>
      <c r="J199" s="8" t="n"/>
      <c r="K199" s="8" t="n"/>
    </row>
    <row r="200">
      <c r="A200" s="9" t="n"/>
      <c r="B200" s="8" t="n"/>
      <c r="C200" s="8" t="n"/>
      <c r="D200" s="17">
        <f>IF(C200="","",IF(C200="Core",300,IF(C200="Pro",425,IF(C200="Full Desk",550,""))))</f>
        <v/>
      </c>
      <c r="E200" s="8" t="n"/>
      <c r="F200" s="8" t="n"/>
      <c r="G200" s="8" t="n"/>
      <c r="H200" s="17">
        <f>IF(D200="","",IF(F200="Yes",0,IF(G200="Yes",0,IF(E200=0,0,D200))))</f>
        <v/>
      </c>
      <c r="I200" s="8" t="n"/>
      <c r="J200" s="8" t="n"/>
      <c r="K200" s="8" t="n"/>
    </row>
  </sheetData>
  <conditionalFormatting sqref="H4:H200">
    <cfRule type="cellIs" priority="1" operator="equal" dxfId="3">
      <formula>0</formula>
    </cfRule>
  </conditionalFormatting>
  <dataValidations count="5">
    <dataValidation sqref="C4:C200" showDropDown="0" showInputMessage="0" showErrorMessage="0" allowBlank="1" type="list">
      <formula1>"Core,Pro,Full Desk"</formula1>
    </dataValidation>
    <dataValidation sqref="F4:F200" showDropDown="0" showInputMessage="0" showErrorMessage="0" allowBlank="1" type="list">
      <formula1>"Yes,No"</formula1>
    </dataValidation>
    <dataValidation sqref="G4:G200" showDropDown="0" showInputMessage="0" showErrorMessage="0" allowBlank="1" type="list">
      <formula1>"Yes,No"</formula1>
    </dataValidation>
    <dataValidation sqref="J4:J200" showDropDown="0" showInputMessage="0" showErrorMessage="0" allowBlank="1" type="list">
      <formula1>"Yes,No"</formula1>
    </dataValidation>
    <dataValidation sqref="K4:K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9" customWidth="1" min="3" max="3"/>
    <col width="13" customWidth="1" min="4" max="4"/>
    <col width="13" customWidth="1" min="5" max="5"/>
    <col width="14" customWidth="1" min="6" max="6"/>
    <col width="10" customWidth="1" min="7" max="7"/>
    <col width="12" customWidth="1" min="8" max="8"/>
  </cols>
  <sheetData>
    <row r="1">
      <c r="A1" s="1" t="inlineStr">
        <is>
          <t>STEADHAUL DISPATCH — FRIDAY REPORT</t>
        </is>
      </c>
    </row>
    <row r="2">
      <c r="A2" s="2" t="inlineStr">
        <is>
          <t>Fill in the week ending date and carrier name (spelled exactly as on the Loads tab) — everything else pulls from Loads. This is the Friday revenue report the site promises.</t>
        </is>
      </c>
    </row>
    <row r="3" ht="30" customHeight="1">
      <c r="A3" s="3" t="inlineStr">
        <is>
          <t>Week ending</t>
        </is>
      </c>
      <c r="B3" s="3" t="inlineStr">
        <is>
          <t>Carrier</t>
        </is>
      </c>
      <c r="C3" s="3" t="inlineStr">
        <is>
          <t>Loads</t>
        </is>
      </c>
      <c r="D3" s="3" t="inlineStr">
        <is>
          <t>Gross</t>
        </is>
      </c>
      <c r="E3" s="3" t="inlineStr">
        <is>
          <t>Loaded miles</t>
        </is>
      </c>
      <c r="F3" s="3" t="inlineStr">
        <is>
          <t>Deadhead miles</t>
        </is>
      </c>
      <c r="G3" s="3" t="inlineStr">
        <is>
          <t>Avg RPM</t>
        </is>
      </c>
      <c r="H3" s="3" t="inlineStr">
        <is>
          <t>Deadhead %</t>
        </is>
      </c>
    </row>
    <row r="4">
      <c r="A4" s="5" t="n">
        <v>46292</v>
      </c>
      <c r="B4" s="4" t="inlineStr">
        <is>
          <t>Example Trucking LLC</t>
        </is>
      </c>
      <c r="C4" s="7">
        <f>IF(A4="","",COUNTIFS(Loads!$A$4:$A$300,"&gt;="&amp;A4-6,Loads!$A$4:$A$300,"&lt;="&amp;A4,Loads!$B$4:$B$300,B4))</f>
        <v/>
      </c>
      <c r="D4" s="16">
        <f>IF(A4="","",SUMIFS(Loads!$I$4:$I$300,Loads!$A$4:$A$300,"&gt;="&amp;A4-6,Loads!$A$4:$A$300,"&lt;="&amp;A4,Loads!$B$4:$B$300,B4))</f>
        <v/>
      </c>
      <c r="E4" s="7">
        <f>IF(A4="","",SUMIFS(Loads!$G$4:$G$300,Loads!$A$4:$A$300,"&gt;="&amp;A4-6,Loads!$A$4:$A$300,"&lt;="&amp;A4,Loads!$B$4:$B$300,B4))</f>
        <v/>
      </c>
      <c r="F4" s="7">
        <f>IF(A4="","",SUMIFS(Loads!$H$4:$H$300,Loads!$A$4:$A$300,"&gt;="&amp;A4-6,Loads!$A$4:$A$300,"&lt;="&amp;A4,Loads!$B$4:$B$300,B4))</f>
        <v/>
      </c>
      <c r="G4" s="14">
        <f>IFERROR(D4/E4,"")</f>
        <v/>
      </c>
      <c r="H4" s="18">
        <f>IFERROR(F4/(E4+F4),"")</f>
        <v/>
      </c>
    </row>
    <row r="5">
      <c r="A5" s="9" t="n"/>
      <c r="B5" s="8" t="n"/>
      <c r="C5" s="13">
        <f>IF(A5="","",COUNTIFS(Loads!$A$4:$A$300,"&gt;="&amp;A5-6,Loads!$A$4:$A$300,"&lt;="&amp;A5,Loads!$B$4:$B$300,B5))</f>
        <v/>
      </c>
      <c r="D5" s="17">
        <f>IF(A5="","",SUMIFS(Loads!$I$4:$I$300,Loads!$A$4:$A$300,"&gt;="&amp;A5-6,Loads!$A$4:$A$300,"&lt;="&amp;A5,Loads!$B$4:$B$300,B5))</f>
        <v/>
      </c>
      <c r="E5" s="13">
        <f>IF(A5="","",SUMIFS(Loads!$G$4:$G$300,Loads!$A$4:$A$300,"&gt;="&amp;A5-6,Loads!$A$4:$A$300,"&lt;="&amp;A5,Loads!$B$4:$B$300,B5))</f>
        <v/>
      </c>
      <c r="F5" s="13">
        <f>IF(A5="","",SUMIFS(Loads!$H$4:$H$300,Loads!$A$4:$A$300,"&gt;="&amp;A5-6,Loads!$A$4:$A$300,"&lt;="&amp;A5,Loads!$B$4:$B$300,B5))</f>
        <v/>
      </c>
      <c r="G5" s="15">
        <f>IFERROR(D5/E5,"")</f>
        <v/>
      </c>
      <c r="H5" s="19">
        <f>IFERROR(F5/(E5+F5),"")</f>
        <v/>
      </c>
    </row>
    <row r="6">
      <c r="A6" s="9" t="n"/>
      <c r="B6" s="8" t="n"/>
      <c r="C6" s="13">
        <f>IF(A6="","",COUNTIFS(Loads!$A$4:$A$300,"&gt;="&amp;A6-6,Loads!$A$4:$A$300,"&lt;="&amp;A6,Loads!$B$4:$B$300,B6))</f>
        <v/>
      </c>
      <c r="D6" s="17">
        <f>IF(A6="","",SUMIFS(Loads!$I$4:$I$300,Loads!$A$4:$A$300,"&gt;="&amp;A6-6,Loads!$A$4:$A$300,"&lt;="&amp;A6,Loads!$B$4:$B$300,B6))</f>
        <v/>
      </c>
      <c r="E6" s="13">
        <f>IF(A6="","",SUMIFS(Loads!$G$4:$G$300,Loads!$A$4:$A$300,"&gt;="&amp;A6-6,Loads!$A$4:$A$300,"&lt;="&amp;A6,Loads!$B$4:$B$300,B6))</f>
        <v/>
      </c>
      <c r="F6" s="13">
        <f>IF(A6="","",SUMIFS(Loads!$H$4:$H$300,Loads!$A$4:$A$300,"&gt;="&amp;A6-6,Loads!$A$4:$A$300,"&lt;="&amp;A6,Loads!$B$4:$B$300,B6))</f>
        <v/>
      </c>
      <c r="G6" s="15">
        <f>IFERROR(D6/E6,"")</f>
        <v/>
      </c>
      <c r="H6" s="19">
        <f>IFERROR(F6/(E6+F6),"")</f>
        <v/>
      </c>
    </row>
    <row r="7">
      <c r="A7" s="9" t="n"/>
      <c r="B7" s="8" t="n"/>
      <c r="C7" s="13">
        <f>IF(A7="","",COUNTIFS(Loads!$A$4:$A$300,"&gt;="&amp;A7-6,Loads!$A$4:$A$300,"&lt;="&amp;A7,Loads!$B$4:$B$300,B7))</f>
        <v/>
      </c>
      <c r="D7" s="17">
        <f>IF(A7="","",SUMIFS(Loads!$I$4:$I$300,Loads!$A$4:$A$300,"&gt;="&amp;A7-6,Loads!$A$4:$A$300,"&lt;="&amp;A7,Loads!$B$4:$B$300,B7))</f>
        <v/>
      </c>
      <c r="E7" s="13">
        <f>IF(A7="","",SUMIFS(Loads!$G$4:$G$300,Loads!$A$4:$A$300,"&gt;="&amp;A7-6,Loads!$A$4:$A$300,"&lt;="&amp;A7,Loads!$B$4:$B$300,B7))</f>
        <v/>
      </c>
      <c r="F7" s="13">
        <f>IF(A7="","",SUMIFS(Loads!$H$4:$H$300,Loads!$A$4:$A$300,"&gt;="&amp;A7-6,Loads!$A$4:$A$300,"&lt;="&amp;A7,Loads!$B$4:$B$300,B7))</f>
        <v/>
      </c>
      <c r="G7" s="15">
        <f>IFERROR(D7/E7,"")</f>
        <v/>
      </c>
      <c r="H7" s="19">
        <f>IFERROR(F7/(E7+F7),"")</f>
        <v/>
      </c>
    </row>
    <row r="8">
      <c r="A8" s="9" t="n"/>
      <c r="B8" s="8" t="n"/>
      <c r="C8" s="13">
        <f>IF(A8="","",COUNTIFS(Loads!$A$4:$A$300,"&gt;="&amp;A8-6,Loads!$A$4:$A$300,"&lt;="&amp;A8,Loads!$B$4:$B$300,B8))</f>
        <v/>
      </c>
      <c r="D8" s="17">
        <f>IF(A8="","",SUMIFS(Loads!$I$4:$I$300,Loads!$A$4:$A$300,"&gt;="&amp;A8-6,Loads!$A$4:$A$300,"&lt;="&amp;A8,Loads!$B$4:$B$300,B8))</f>
        <v/>
      </c>
      <c r="E8" s="13">
        <f>IF(A8="","",SUMIFS(Loads!$G$4:$G$300,Loads!$A$4:$A$300,"&gt;="&amp;A8-6,Loads!$A$4:$A$300,"&lt;="&amp;A8,Loads!$B$4:$B$300,B8))</f>
        <v/>
      </c>
      <c r="F8" s="13">
        <f>IF(A8="","",SUMIFS(Loads!$H$4:$H$300,Loads!$A$4:$A$300,"&gt;="&amp;A8-6,Loads!$A$4:$A$300,"&lt;="&amp;A8,Loads!$B$4:$B$300,B8))</f>
        <v/>
      </c>
      <c r="G8" s="15">
        <f>IFERROR(D8/E8,"")</f>
        <v/>
      </c>
      <c r="H8" s="19">
        <f>IFERROR(F8/(E8+F8),"")</f>
        <v/>
      </c>
    </row>
    <row r="9">
      <c r="A9" s="9" t="n"/>
      <c r="B9" s="8" t="n"/>
      <c r="C9" s="13">
        <f>IF(A9="","",COUNTIFS(Loads!$A$4:$A$300,"&gt;="&amp;A9-6,Loads!$A$4:$A$300,"&lt;="&amp;A9,Loads!$B$4:$B$300,B9))</f>
        <v/>
      </c>
      <c r="D9" s="17">
        <f>IF(A9="","",SUMIFS(Loads!$I$4:$I$300,Loads!$A$4:$A$300,"&gt;="&amp;A9-6,Loads!$A$4:$A$300,"&lt;="&amp;A9,Loads!$B$4:$B$300,B9))</f>
        <v/>
      </c>
      <c r="E9" s="13">
        <f>IF(A9="","",SUMIFS(Loads!$G$4:$G$300,Loads!$A$4:$A$300,"&gt;="&amp;A9-6,Loads!$A$4:$A$300,"&lt;="&amp;A9,Loads!$B$4:$B$300,B9))</f>
        <v/>
      </c>
      <c r="F9" s="13">
        <f>IF(A9="","",SUMIFS(Loads!$H$4:$H$300,Loads!$A$4:$A$300,"&gt;="&amp;A9-6,Loads!$A$4:$A$300,"&lt;="&amp;A9,Loads!$B$4:$B$300,B9))</f>
        <v/>
      </c>
      <c r="G9" s="15">
        <f>IFERROR(D9/E9,"")</f>
        <v/>
      </c>
      <c r="H9" s="19">
        <f>IFERROR(F9/(E9+F9),"")</f>
        <v/>
      </c>
    </row>
    <row r="10">
      <c r="A10" s="9" t="n"/>
      <c r="B10" s="8" t="n"/>
      <c r="C10" s="13">
        <f>IF(A10="","",COUNTIFS(Loads!$A$4:$A$300,"&gt;="&amp;A10-6,Loads!$A$4:$A$300,"&lt;="&amp;A10,Loads!$B$4:$B$300,B10))</f>
        <v/>
      </c>
      <c r="D10" s="17">
        <f>IF(A10="","",SUMIFS(Loads!$I$4:$I$300,Loads!$A$4:$A$300,"&gt;="&amp;A10-6,Loads!$A$4:$A$300,"&lt;="&amp;A10,Loads!$B$4:$B$300,B10))</f>
        <v/>
      </c>
      <c r="E10" s="13">
        <f>IF(A10="","",SUMIFS(Loads!$G$4:$G$300,Loads!$A$4:$A$300,"&gt;="&amp;A10-6,Loads!$A$4:$A$300,"&lt;="&amp;A10,Loads!$B$4:$B$300,B10))</f>
        <v/>
      </c>
      <c r="F10" s="13">
        <f>IF(A10="","",SUMIFS(Loads!$H$4:$H$300,Loads!$A$4:$A$300,"&gt;="&amp;A10-6,Loads!$A$4:$A$300,"&lt;="&amp;A10,Loads!$B$4:$B$300,B10))</f>
        <v/>
      </c>
      <c r="G10" s="15">
        <f>IFERROR(D10/E10,"")</f>
        <v/>
      </c>
      <c r="H10" s="19">
        <f>IFERROR(F10/(E10+F10),"")</f>
        <v/>
      </c>
    </row>
    <row r="11">
      <c r="A11" s="9" t="n"/>
      <c r="B11" s="8" t="n"/>
      <c r="C11" s="13">
        <f>IF(A11="","",COUNTIFS(Loads!$A$4:$A$300,"&gt;="&amp;A11-6,Loads!$A$4:$A$300,"&lt;="&amp;A11,Loads!$B$4:$B$300,B11))</f>
        <v/>
      </c>
      <c r="D11" s="17">
        <f>IF(A11="","",SUMIFS(Loads!$I$4:$I$300,Loads!$A$4:$A$300,"&gt;="&amp;A11-6,Loads!$A$4:$A$300,"&lt;="&amp;A11,Loads!$B$4:$B$300,B11))</f>
        <v/>
      </c>
      <c r="E11" s="13">
        <f>IF(A11="","",SUMIFS(Loads!$G$4:$G$300,Loads!$A$4:$A$300,"&gt;="&amp;A11-6,Loads!$A$4:$A$300,"&lt;="&amp;A11,Loads!$B$4:$B$300,B11))</f>
        <v/>
      </c>
      <c r="F11" s="13">
        <f>IF(A11="","",SUMIFS(Loads!$H$4:$H$300,Loads!$A$4:$A$300,"&gt;="&amp;A11-6,Loads!$A$4:$A$300,"&lt;="&amp;A11,Loads!$B$4:$B$300,B11))</f>
        <v/>
      </c>
      <c r="G11" s="15">
        <f>IFERROR(D11/E11,"")</f>
        <v/>
      </c>
      <c r="H11" s="19">
        <f>IFERROR(F11/(E11+F11),"")</f>
        <v/>
      </c>
    </row>
    <row r="12">
      <c r="A12" s="9" t="n"/>
      <c r="B12" s="8" t="n"/>
      <c r="C12" s="13">
        <f>IF(A12="","",COUNTIFS(Loads!$A$4:$A$300,"&gt;="&amp;A12-6,Loads!$A$4:$A$300,"&lt;="&amp;A12,Loads!$B$4:$B$300,B12))</f>
        <v/>
      </c>
      <c r="D12" s="17">
        <f>IF(A12="","",SUMIFS(Loads!$I$4:$I$300,Loads!$A$4:$A$300,"&gt;="&amp;A12-6,Loads!$A$4:$A$300,"&lt;="&amp;A12,Loads!$B$4:$B$300,B12))</f>
        <v/>
      </c>
      <c r="E12" s="13">
        <f>IF(A12="","",SUMIFS(Loads!$G$4:$G$300,Loads!$A$4:$A$300,"&gt;="&amp;A12-6,Loads!$A$4:$A$300,"&lt;="&amp;A12,Loads!$B$4:$B$300,B12))</f>
        <v/>
      </c>
      <c r="F12" s="13">
        <f>IF(A12="","",SUMIFS(Loads!$H$4:$H$300,Loads!$A$4:$A$300,"&gt;="&amp;A12-6,Loads!$A$4:$A$300,"&lt;="&amp;A12,Loads!$B$4:$B$300,B12))</f>
        <v/>
      </c>
      <c r="G12" s="15">
        <f>IFERROR(D12/E12,"")</f>
        <v/>
      </c>
      <c r="H12" s="19">
        <f>IFERROR(F12/(E12+F12),"")</f>
        <v/>
      </c>
    </row>
    <row r="13">
      <c r="A13" s="9" t="n"/>
      <c r="B13" s="8" t="n"/>
      <c r="C13" s="13">
        <f>IF(A13="","",COUNTIFS(Loads!$A$4:$A$300,"&gt;="&amp;A13-6,Loads!$A$4:$A$300,"&lt;="&amp;A13,Loads!$B$4:$B$300,B13))</f>
        <v/>
      </c>
      <c r="D13" s="17">
        <f>IF(A13="","",SUMIFS(Loads!$I$4:$I$300,Loads!$A$4:$A$300,"&gt;="&amp;A13-6,Loads!$A$4:$A$300,"&lt;="&amp;A13,Loads!$B$4:$B$300,B13))</f>
        <v/>
      </c>
      <c r="E13" s="13">
        <f>IF(A13="","",SUMIFS(Loads!$G$4:$G$300,Loads!$A$4:$A$300,"&gt;="&amp;A13-6,Loads!$A$4:$A$300,"&lt;="&amp;A13,Loads!$B$4:$B$300,B13))</f>
        <v/>
      </c>
      <c r="F13" s="13">
        <f>IF(A13="","",SUMIFS(Loads!$H$4:$H$300,Loads!$A$4:$A$300,"&gt;="&amp;A13-6,Loads!$A$4:$A$300,"&lt;="&amp;A13,Loads!$B$4:$B$300,B13))</f>
        <v/>
      </c>
      <c r="G13" s="15">
        <f>IFERROR(D13/E13,"")</f>
        <v/>
      </c>
      <c r="H13" s="19">
        <f>IFERROR(F13/(E13+F13),"")</f>
        <v/>
      </c>
    </row>
    <row r="14">
      <c r="A14" s="9" t="n"/>
      <c r="B14" s="8" t="n"/>
      <c r="C14" s="13">
        <f>IF(A14="","",COUNTIFS(Loads!$A$4:$A$300,"&gt;="&amp;A14-6,Loads!$A$4:$A$300,"&lt;="&amp;A14,Loads!$B$4:$B$300,B14))</f>
        <v/>
      </c>
      <c r="D14" s="17">
        <f>IF(A14="","",SUMIFS(Loads!$I$4:$I$300,Loads!$A$4:$A$300,"&gt;="&amp;A14-6,Loads!$A$4:$A$300,"&lt;="&amp;A14,Loads!$B$4:$B$300,B14))</f>
        <v/>
      </c>
      <c r="E14" s="13">
        <f>IF(A14="","",SUMIFS(Loads!$G$4:$G$300,Loads!$A$4:$A$300,"&gt;="&amp;A14-6,Loads!$A$4:$A$300,"&lt;="&amp;A14,Loads!$B$4:$B$300,B14))</f>
        <v/>
      </c>
      <c r="F14" s="13">
        <f>IF(A14="","",SUMIFS(Loads!$H$4:$H$300,Loads!$A$4:$A$300,"&gt;="&amp;A14-6,Loads!$A$4:$A$300,"&lt;="&amp;A14,Loads!$B$4:$B$300,B14))</f>
        <v/>
      </c>
      <c r="G14" s="15">
        <f>IFERROR(D14/E14,"")</f>
        <v/>
      </c>
      <c r="H14" s="19">
        <f>IFERROR(F14/(E14+F14),"")</f>
        <v/>
      </c>
    </row>
    <row r="15">
      <c r="A15" s="9" t="n"/>
      <c r="B15" s="8" t="n"/>
      <c r="C15" s="13">
        <f>IF(A15="","",COUNTIFS(Loads!$A$4:$A$300,"&gt;="&amp;A15-6,Loads!$A$4:$A$300,"&lt;="&amp;A15,Loads!$B$4:$B$300,B15))</f>
        <v/>
      </c>
      <c r="D15" s="17">
        <f>IF(A15="","",SUMIFS(Loads!$I$4:$I$300,Loads!$A$4:$A$300,"&gt;="&amp;A15-6,Loads!$A$4:$A$300,"&lt;="&amp;A15,Loads!$B$4:$B$300,B15))</f>
        <v/>
      </c>
      <c r="E15" s="13">
        <f>IF(A15="","",SUMIFS(Loads!$G$4:$G$300,Loads!$A$4:$A$300,"&gt;="&amp;A15-6,Loads!$A$4:$A$300,"&lt;="&amp;A15,Loads!$B$4:$B$300,B15))</f>
        <v/>
      </c>
      <c r="F15" s="13">
        <f>IF(A15="","",SUMIFS(Loads!$H$4:$H$300,Loads!$A$4:$A$300,"&gt;="&amp;A15-6,Loads!$A$4:$A$300,"&lt;="&amp;A15,Loads!$B$4:$B$300,B15))</f>
        <v/>
      </c>
      <c r="G15" s="15">
        <f>IFERROR(D15/E15,"")</f>
        <v/>
      </c>
      <c r="H15" s="19">
        <f>IFERROR(F15/(E15+F15),"")</f>
        <v/>
      </c>
    </row>
    <row r="16">
      <c r="A16" s="9" t="n"/>
      <c r="B16" s="8" t="n"/>
      <c r="C16" s="13">
        <f>IF(A16="","",COUNTIFS(Loads!$A$4:$A$300,"&gt;="&amp;A16-6,Loads!$A$4:$A$300,"&lt;="&amp;A16,Loads!$B$4:$B$300,B16))</f>
        <v/>
      </c>
      <c r="D16" s="17">
        <f>IF(A16="","",SUMIFS(Loads!$I$4:$I$300,Loads!$A$4:$A$300,"&gt;="&amp;A16-6,Loads!$A$4:$A$300,"&lt;="&amp;A16,Loads!$B$4:$B$300,B16))</f>
        <v/>
      </c>
      <c r="E16" s="13">
        <f>IF(A16="","",SUMIFS(Loads!$G$4:$G$300,Loads!$A$4:$A$300,"&gt;="&amp;A16-6,Loads!$A$4:$A$300,"&lt;="&amp;A16,Loads!$B$4:$B$300,B16))</f>
        <v/>
      </c>
      <c r="F16" s="13">
        <f>IF(A16="","",SUMIFS(Loads!$H$4:$H$300,Loads!$A$4:$A$300,"&gt;="&amp;A16-6,Loads!$A$4:$A$300,"&lt;="&amp;A16,Loads!$B$4:$B$300,B16))</f>
        <v/>
      </c>
      <c r="G16" s="15">
        <f>IFERROR(D16/E16,"")</f>
        <v/>
      </c>
      <c r="H16" s="19">
        <f>IFERROR(F16/(E16+F16),"")</f>
        <v/>
      </c>
    </row>
    <row r="17">
      <c r="A17" s="9" t="n"/>
      <c r="B17" s="8" t="n"/>
      <c r="C17" s="13">
        <f>IF(A17="","",COUNTIFS(Loads!$A$4:$A$300,"&gt;="&amp;A17-6,Loads!$A$4:$A$300,"&lt;="&amp;A17,Loads!$B$4:$B$300,B17))</f>
        <v/>
      </c>
      <c r="D17" s="17">
        <f>IF(A17="","",SUMIFS(Loads!$I$4:$I$300,Loads!$A$4:$A$300,"&gt;="&amp;A17-6,Loads!$A$4:$A$300,"&lt;="&amp;A17,Loads!$B$4:$B$300,B17))</f>
        <v/>
      </c>
      <c r="E17" s="13">
        <f>IF(A17="","",SUMIFS(Loads!$G$4:$G$300,Loads!$A$4:$A$300,"&gt;="&amp;A17-6,Loads!$A$4:$A$300,"&lt;="&amp;A17,Loads!$B$4:$B$300,B17))</f>
        <v/>
      </c>
      <c r="F17" s="13">
        <f>IF(A17="","",SUMIFS(Loads!$H$4:$H$300,Loads!$A$4:$A$300,"&gt;="&amp;A17-6,Loads!$A$4:$A$300,"&lt;="&amp;A17,Loads!$B$4:$B$300,B17))</f>
        <v/>
      </c>
      <c r="G17" s="15">
        <f>IFERROR(D17/E17,"")</f>
        <v/>
      </c>
      <c r="H17" s="19">
        <f>IFERROR(F17/(E17+F17),"")</f>
        <v/>
      </c>
    </row>
    <row r="18">
      <c r="A18" s="9" t="n"/>
      <c r="B18" s="8" t="n"/>
      <c r="C18" s="13">
        <f>IF(A18="","",COUNTIFS(Loads!$A$4:$A$300,"&gt;="&amp;A18-6,Loads!$A$4:$A$300,"&lt;="&amp;A18,Loads!$B$4:$B$300,B18))</f>
        <v/>
      </c>
      <c r="D18" s="17">
        <f>IF(A18="","",SUMIFS(Loads!$I$4:$I$300,Loads!$A$4:$A$300,"&gt;="&amp;A18-6,Loads!$A$4:$A$300,"&lt;="&amp;A18,Loads!$B$4:$B$300,B18))</f>
        <v/>
      </c>
      <c r="E18" s="13">
        <f>IF(A18="","",SUMIFS(Loads!$G$4:$G$300,Loads!$A$4:$A$300,"&gt;="&amp;A18-6,Loads!$A$4:$A$300,"&lt;="&amp;A18,Loads!$B$4:$B$300,B18))</f>
        <v/>
      </c>
      <c r="F18" s="13">
        <f>IF(A18="","",SUMIFS(Loads!$H$4:$H$300,Loads!$A$4:$A$300,"&gt;="&amp;A18-6,Loads!$A$4:$A$300,"&lt;="&amp;A18,Loads!$B$4:$B$300,B18))</f>
        <v/>
      </c>
      <c r="G18" s="15">
        <f>IFERROR(D18/E18,"")</f>
        <v/>
      </c>
      <c r="H18" s="19">
        <f>IFERROR(F18/(E18+F18),"")</f>
        <v/>
      </c>
    </row>
    <row r="19">
      <c r="A19" s="9" t="n"/>
      <c r="B19" s="8" t="n"/>
      <c r="C19" s="13">
        <f>IF(A19="","",COUNTIFS(Loads!$A$4:$A$300,"&gt;="&amp;A19-6,Loads!$A$4:$A$300,"&lt;="&amp;A19,Loads!$B$4:$B$300,B19))</f>
        <v/>
      </c>
      <c r="D19" s="17">
        <f>IF(A19="","",SUMIFS(Loads!$I$4:$I$300,Loads!$A$4:$A$300,"&gt;="&amp;A19-6,Loads!$A$4:$A$300,"&lt;="&amp;A19,Loads!$B$4:$B$300,B19))</f>
        <v/>
      </c>
      <c r="E19" s="13">
        <f>IF(A19="","",SUMIFS(Loads!$G$4:$G$300,Loads!$A$4:$A$300,"&gt;="&amp;A19-6,Loads!$A$4:$A$300,"&lt;="&amp;A19,Loads!$B$4:$B$300,B19))</f>
        <v/>
      </c>
      <c r="F19" s="13">
        <f>IF(A19="","",SUMIFS(Loads!$H$4:$H$300,Loads!$A$4:$A$300,"&gt;="&amp;A19-6,Loads!$A$4:$A$300,"&lt;="&amp;A19,Loads!$B$4:$B$300,B19))</f>
        <v/>
      </c>
      <c r="G19" s="15">
        <f>IFERROR(D19/E19,"")</f>
        <v/>
      </c>
      <c r="H19" s="19">
        <f>IFERROR(F19/(E19+F19),"")</f>
        <v/>
      </c>
    </row>
    <row r="20">
      <c r="A20" s="9" t="n"/>
      <c r="B20" s="8" t="n"/>
      <c r="C20" s="13">
        <f>IF(A20="","",COUNTIFS(Loads!$A$4:$A$300,"&gt;="&amp;A20-6,Loads!$A$4:$A$300,"&lt;="&amp;A20,Loads!$B$4:$B$300,B20))</f>
        <v/>
      </c>
      <c r="D20" s="17">
        <f>IF(A20="","",SUMIFS(Loads!$I$4:$I$300,Loads!$A$4:$A$300,"&gt;="&amp;A20-6,Loads!$A$4:$A$300,"&lt;="&amp;A20,Loads!$B$4:$B$300,B20))</f>
        <v/>
      </c>
      <c r="E20" s="13">
        <f>IF(A20="","",SUMIFS(Loads!$G$4:$G$300,Loads!$A$4:$A$300,"&gt;="&amp;A20-6,Loads!$A$4:$A$300,"&lt;="&amp;A20,Loads!$B$4:$B$300,B20))</f>
        <v/>
      </c>
      <c r="F20" s="13">
        <f>IF(A20="","",SUMIFS(Loads!$H$4:$H$300,Loads!$A$4:$A$300,"&gt;="&amp;A20-6,Loads!$A$4:$A$300,"&lt;="&amp;A20,Loads!$B$4:$B$300,B20))</f>
        <v/>
      </c>
      <c r="G20" s="15">
        <f>IFERROR(D20/E20,"")</f>
        <v/>
      </c>
      <c r="H20" s="19">
        <f>IFERROR(F20/(E20+F20),"")</f>
        <v/>
      </c>
    </row>
    <row r="21">
      <c r="A21" s="9" t="n"/>
      <c r="B21" s="8" t="n"/>
      <c r="C21" s="13">
        <f>IF(A21="","",COUNTIFS(Loads!$A$4:$A$300,"&gt;="&amp;A21-6,Loads!$A$4:$A$300,"&lt;="&amp;A21,Loads!$B$4:$B$300,B21))</f>
        <v/>
      </c>
      <c r="D21" s="17">
        <f>IF(A21="","",SUMIFS(Loads!$I$4:$I$300,Loads!$A$4:$A$300,"&gt;="&amp;A21-6,Loads!$A$4:$A$300,"&lt;="&amp;A21,Loads!$B$4:$B$300,B21))</f>
        <v/>
      </c>
      <c r="E21" s="13">
        <f>IF(A21="","",SUMIFS(Loads!$G$4:$G$300,Loads!$A$4:$A$300,"&gt;="&amp;A21-6,Loads!$A$4:$A$300,"&lt;="&amp;A21,Loads!$B$4:$B$300,B21))</f>
        <v/>
      </c>
      <c r="F21" s="13">
        <f>IF(A21="","",SUMIFS(Loads!$H$4:$H$300,Loads!$A$4:$A$300,"&gt;="&amp;A21-6,Loads!$A$4:$A$300,"&lt;="&amp;A21,Loads!$B$4:$B$300,B21))</f>
        <v/>
      </c>
      <c r="G21" s="15">
        <f>IFERROR(D21/E21,"")</f>
        <v/>
      </c>
      <c r="H21" s="19">
        <f>IFERROR(F21/(E21+F21),"")</f>
        <v/>
      </c>
    </row>
    <row r="22">
      <c r="A22" s="9" t="n"/>
      <c r="B22" s="8" t="n"/>
      <c r="C22" s="13">
        <f>IF(A22="","",COUNTIFS(Loads!$A$4:$A$300,"&gt;="&amp;A22-6,Loads!$A$4:$A$300,"&lt;="&amp;A22,Loads!$B$4:$B$300,B22))</f>
        <v/>
      </c>
      <c r="D22" s="17">
        <f>IF(A22="","",SUMIFS(Loads!$I$4:$I$300,Loads!$A$4:$A$300,"&gt;="&amp;A22-6,Loads!$A$4:$A$300,"&lt;="&amp;A22,Loads!$B$4:$B$300,B22))</f>
        <v/>
      </c>
      <c r="E22" s="13">
        <f>IF(A22="","",SUMIFS(Loads!$G$4:$G$300,Loads!$A$4:$A$300,"&gt;="&amp;A22-6,Loads!$A$4:$A$300,"&lt;="&amp;A22,Loads!$B$4:$B$300,B22))</f>
        <v/>
      </c>
      <c r="F22" s="13">
        <f>IF(A22="","",SUMIFS(Loads!$H$4:$H$300,Loads!$A$4:$A$300,"&gt;="&amp;A22-6,Loads!$A$4:$A$300,"&lt;="&amp;A22,Loads!$B$4:$B$300,B22))</f>
        <v/>
      </c>
      <c r="G22" s="15">
        <f>IFERROR(D22/E22,"")</f>
        <v/>
      </c>
      <c r="H22" s="19">
        <f>IFERROR(F22/(E22+F22),"")</f>
        <v/>
      </c>
    </row>
    <row r="23">
      <c r="A23" s="9" t="n"/>
      <c r="B23" s="8" t="n"/>
      <c r="C23" s="13">
        <f>IF(A23="","",COUNTIFS(Loads!$A$4:$A$300,"&gt;="&amp;A23-6,Loads!$A$4:$A$300,"&lt;="&amp;A23,Loads!$B$4:$B$300,B23))</f>
        <v/>
      </c>
      <c r="D23" s="17">
        <f>IF(A23="","",SUMIFS(Loads!$I$4:$I$300,Loads!$A$4:$A$300,"&gt;="&amp;A23-6,Loads!$A$4:$A$300,"&lt;="&amp;A23,Loads!$B$4:$B$300,B23))</f>
        <v/>
      </c>
      <c r="E23" s="13">
        <f>IF(A23="","",SUMIFS(Loads!$G$4:$G$300,Loads!$A$4:$A$300,"&gt;="&amp;A23-6,Loads!$A$4:$A$300,"&lt;="&amp;A23,Loads!$B$4:$B$300,B23))</f>
        <v/>
      </c>
      <c r="F23" s="13">
        <f>IF(A23="","",SUMIFS(Loads!$H$4:$H$300,Loads!$A$4:$A$300,"&gt;="&amp;A23-6,Loads!$A$4:$A$300,"&lt;="&amp;A23,Loads!$B$4:$B$300,B23))</f>
        <v/>
      </c>
      <c r="G23" s="15">
        <f>IFERROR(D23/E23,"")</f>
        <v/>
      </c>
      <c r="H23" s="19">
        <f>IFERROR(F23/(E23+F23),"")</f>
        <v/>
      </c>
    </row>
    <row r="24">
      <c r="A24" s="9" t="n"/>
      <c r="B24" s="8" t="n"/>
      <c r="C24" s="13">
        <f>IF(A24="","",COUNTIFS(Loads!$A$4:$A$300,"&gt;="&amp;A24-6,Loads!$A$4:$A$300,"&lt;="&amp;A24,Loads!$B$4:$B$300,B24))</f>
        <v/>
      </c>
      <c r="D24" s="17">
        <f>IF(A24="","",SUMIFS(Loads!$I$4:$I$300,Loads!$A$4:$A$300,"&gt;="&amp;A24-6,Loads!$A$4:$A$300,"&lt;="&amp;A24,Loads!$B$4:$B$300,B24))</f>
        <v/>
      </c>
      <c r="E24" s="13">
        <f>IF(A24="","",SUMIFS(Loads!$G$4:$G$300,Loads!$A$4:$A$300,"&gt;="&amp;A24-6,Loads!$A$4:$A$300,"&lt;="&amp;A24,Loads!$B$4:$B$300,B24))</f>
        <v/>
      </c>
      <c r="F24" s="13">
        <f>IF(A24="","",SUMIFS(Loads!$H$4:$H$300,Loads!$A$4:$A$300,"&gt;="&amp;A24-6,Loads!$A$4:$A$300,"&lt;="&amp;A24,Loads!$B$4:$B$300,B24))</f>
        <v/>
      </c>
      <c r="G24" s="15">
        <f>IFERROR(D24/E24,"")</f>
        <v/>
      </c>
      <c r="H24" s="19">
        <f>IFERROR(F24/(E24+F24),"")</f>
        <v/>
      </c>
    </row>
    <row r="25">
      <c r="A25" s="9" t="n"/>
      <c r="B25" s="8" t="n"/>
      <c r="C25" s="13">
        <f>IF(A25="","",COUNTIFS(Loads!$A$4:$A$300,"&gt;="&amp;A25-6,Loads!$A$4:$A$300,"&lt;="&amp;A25,Loads!$B$4:$B$300,B25))</f>
        <v/>
      </c>
      <c r="D25" s="17">
        <f>IF(A25="","",SUMIFS(Loads!$I$4:$I$300,Loads!$A$4:$A$300,"&gt;="&amp;A25-6,Loads!$A$4:$A$300,"&lt;="&amp;A25,Loads!$B$4:$B$300,B25))</f>
        <v/>
      </c>
      <c r="E25" s="13">
        <f>IF(A25="","",SUMIFS(Loads!$G$4:$G$300,Loads!$A$4:$A$300,"&gt;="&amp;A25-6,Loads!$A$4:$A$300,"&lt;="&amp;A25,Loads!$B$4:$B$300,B25))</f>
        <v/>
      </c>
      <c r="F25" s="13">
        <f>IF(A25="","",SUMIFS(Loads!$H$4:$H$300,Loads!$A$4:$A$300,"&gt;="&amp;A25-6,Loads!$A$4:$A$300,"&lt;="&amp;A25,Loads!$B$4:$B$300,B25))</f>
        <v/>
      </c>
      <c r="G25" s="15">
        <f>IFERROR(D25/E25,"")</f>
        <v/>
      </c>
      <c r="H25" s="19">
        <f>IFERROR(F25/(E25+F25),"")</f>
        <v/>
      </c>
    </row>
    <row r="26">
      <c r="A26" s="9" t="n"/>
      <c r="B26" s="8" t="n"/>
      <c r="C26" s="13">
        <f>IF(A26="","",COUNTIFS(Loads!$A$4:$A$300,"&gt;="&amp;A26-6,Loads!$A$4:$A$300,"&lt;="&amp;A26,Loads!$B$4:$B$300,B26))</f>
        <v/>
      </c>
      <c r="D26" s="17">
        <f>IF(A26="","",SUMIFS(Loads!$I$4:$I$300,Loads!$A$4:$A$300,"&gt;="&amp;A26-6,Loads!$A$4:$A$300,"&lt;="&amp;A26,Loads!$B$4:$B$300,B26))</f>
        <v/>
      </c>
      <c r="E26" s="13">
        <f>IF(A26="","",SUMIFS(Loads!$G$4:$G$300,Loads!$A$4:$A$300,"&gt;="&amp;A26-6,Loads!$A$4:$A$300,"&lt;="&amp;A26,Loads!$B$4:$B$300,B26))</f>
        <v/>
      </c>
      <c r="F26" s="13">
        <f>IF(A26="","",SUMIFS(Loads!$H$4:$H$300,Loads!$A$4:$A$300,"&gt;="&amp;A26-6,Loads!$A$4:$A$300,"&lt;="&amp;A26,Loads!$B$4:$B$300,B26))</f>
        <v/>
      </c>
      <c r="G26" s="15">
        <f>IFERROR(D26/E26,"")</f>
        <v/>
      </c>
      <c r="H26" s="19">
        <f>IFERROR(F26/(E26+F26),"")</f>
        <v/>
      </c>
    </row>
    <row r="27">
      <c r="A27" s="9" t="n"/>
      <c r="B27" s="8" t="n"/>
      <c r="C27" s="13">
        <f>IF(A27="","",COUNTIFS(Loads!$A$4:$A$300,"&gt;="&amp;A27-6,Loads!$A$4:$A$300,"&lt;="&amp;A27,Loads!$B$4:$B$300,B27))</f>
        <v/>
      </c>
      <c r="D27" s="17">
        <f>IF(A27="","",SUMIFS(Loads!$I$4:$I$300,Loads!$A$4:$A$300,"&gt;="&amp;A27-6,Loads!$A$4:$A$300,"&lt;="&amp;A27,Loads!$B$4:$B$300,B27))</f>
        <v/>
      </c>
      <c r="E27" s="13">
        <f>IF(A27="","",SUMIFS(Loads!$G$4:$G$300,Loads!$A$4:$A$300,"&gt;="&amp;A27-6,Loads!$A$4:$A$300,"&lt;="&amp;A27,Loads!$B$4:$B$300,B27))</f>
        <v/>
      </c>
      <c r="F27" s="13">
        <f>IF(A27="","",SUMIFS(Loads!$H$4:$H$300,Loads!$A$4:$A$300,"&gt;="&amp;A27-6,Loads!$A$4:$A$300,"&lt;="&amp;A27,Loads!$B$4:$B$300,B27))</f>
        <v/>
      </c>
      <c r="G27" s="15">
        <f>IFERROR(D27/E27,"")</f>
        <v/>
      </c>
      <c r="H27" s="19">
        <f>IFERROR(F27/(E27+F27),"")</f>
        <v/>
      </c>
    </row>
    <row r="28">
      <c r="A28" s="9" t="n"/>
      <c r="B28" s="8" t="n"/>
      <c r="C28" s="13">
        <f>IF(A28="","",COUNTIFS(Loads!$A$4:$A$300,"&gt;="&amp;A28-6,Loads!$A$4:$A$300,"&lt;="&amp;A28,Loads!$B$4:$B$300,B28))</f>
        <v/>
      </c>
      <c r="D28" s="17">
        <f>IF(A28="","",SUMIFS(Loads!$I$4:$I$300,Loads!$A$4:$A$300,"&gt;="&amp;A28-6,Loads!$A$4:$A$300,"&lt;="&amp;A28,Loads!$B$4:$B$300,B28))</f>
        <v/>
      </c>
      <c r="E28" s="13">
        <f>IF(A28="","",SUMIFS(Loads!$G$4:$G$300,Loads!$A$4:$A$300,"&gt;="&amp;A28-6,Loads!$A$4:$A$300,"&lt;="&amp;A28,Loads!$B$4:$B$300,B28))</f>
        <v/>
      </c>
      <c r="F28" s="13">
        <f>IF(A28="","",SUMIFS(Loads!$H$4:$H$300,Loads!$A$4:$A$300,"&gt;="&amp;A28-6,Loads!$A$4:$A$300,"&lt;="&amp;A28,Loads!$B$4:$B$300,B28))</f>
        <v/>
      </c>
      <c r="G28" s="15">
        <f>IFERROR(D28/E28,"")</f>
        <v/>
      </c>
      <c r="H28" s="19">
        <f>IFERROR(F28/(E28+F28),"")</f>
        <v/>
      </c>
    </row>
    <row r="29">
      <c r="A29" s="9" t="n"/>
      <c r="B29" s="8" t="n"/>
      <c r="C29" s="13">
        <f>IF(A29="","",COUNTIFS(Loads!$A$4:$A$300,"&gt;="&amp;A29-6,Loads!$A$4:$A$300,"&lt;="&amp;A29,Loads!$B$4:$B$300,B29))</f>
        <v/>
      </c>
      <c r="D29" s="17">
        <f>IF(A29="","",SUMIFS(Loads!$I$4:$I$300,Loads!$A$4:$A$300,"&gt;="&amp;A29-6,Loads!$A$4:$A$300,"&lt;="&amp;A29,Loads!$B$4:$B$300,B29))</f>
        <v/>
      </c>
      <c r="E29" s="13">
        <f>IF(A29="","",SUMIFS(Loads!$G$4:$G$300,Loads!$A$4:$A$300,"&gt;="&amp;A29-6,Loads!$A$4:$A$300,"&lt;="&amp;A29,Loads!$B$4:$B$300,B29))</f>
        <v/>
      </c>
      <c r="F29" s="13">
        <f>IF(A29="","",SUMIFS(Loads!$H$4:$H$300,Loads!$A$4:$A$300,"&gt;="&amp;A29-6,Loads!$A$4:$A$300,"&lt;="&amp;A29,Loads!$B$4:$B$300,B29))</f>
        <v/>
      </c>
      <c r="G29" s="15">
        <f>IFERROR(D29/E29,"")</f>
        <v/>
      </c>
      <c r="H29" s="19">
        <f>IFERROR(F29/(E29+F29),"")</f>
        <v/>
      </c>
    </row>
    <row r="30">
      <c r="A30" s="9" t="n"/>
      <c r="B30" s="8" t="n"/>
      <c r="C30" s="13">
        <f>IF(A30="","",COUNTIFS(Loads!$A$4:$A$300,"&gt;="&amp;A30-6,Loads!$A$4:$A$300,"&lt;="&amp;A30,Loads!$B$4:$B$300,B30))</f>
        <v/>
      </c>
      <c r="D30" s="17">
        <f>IF(A30="","",SUMIFS(Loads!$I$4:$I$300,Loads!$A$4:$A$300,"&gt;="&amp;A30-6,Loads!$A$4:$A$300,"&lt;="&amp;A30,Loads!$B$4:$B$300,B30))</f>
        <v/>
      </c>
      <c r="E30" s="13">
        <f>IF(A30="","",SUMIFS(Loads!$G$4:$G$300,Loads!$A$4:$A$300,"&gt;="&amp;A30-6,Loads!$A$4:$A$300,"&lt;="&amp;A30,Loads!$B$4:$B$300,B30))</f>
        <v/>
      </c>
      <c r="F30" s="13">
        <f>IF(A30="","",SUMIFS(Loads!$H$4:$H$300,Loads!$A$4:$A$300,"&gt;="&amp;A30-6,Loads!$A$4:$A$300,"&lt;="&amp;A30,Loads!$B$4:$B$300,B30))</f>
        <v/>
      </c>
      <c r="G30" s="15">
        <f>IFERROR(D30/E30,"")</f>
        <v/>
      </c>
      <c r="H30" s="19">
        <f>IFERROR(F30/(E30+F30),"")</f>
        <v/>
      </c>
    </row>
    <row r="31">
      <c r="A31" s="9" t="n"/>
      <c r="B31" s="8" t="n"/>
      <c r="C31" s="13">
        <f>IF(A31="","",COUNTIFS(Loads!$A$4:$A$300,"&gt;="&amp;A31-6,Loads!$A$4:$A$300,"&lt;="&amp;A31,Loads!$B$4:$B$300,B31))</f>
        <v/>
      </c>
      <c r="D31" s="17">
        <f>IF(A31="","",SUMIFS(Loads!$I$4:$I$300,Loads!$A$4:$A$300,"&gt;="&amp;A31-6,Loads!$A$4:$A$300,"&lt;="&amp;A31,Loads!$B$4:$B$300,B31))</f>
        <v/>
      </c>
      <c r="E31" s="13">
        <f>IF(A31="","",SUMIFS(Loads!$G$4:$G$300,Loads!$A$4:$A$300,"&gt;="&amp;A31-6,Loads!$A$4:$A$300,"&lt;="&amp;A31,Loads!$B$4:$B$300,B31))</f>
        <v/>
      </c>
      <c r="F31" s="13">
        <f>IF(A31="","",SUMIFS(Loads!$H$4:$H$300,Loads!$A$4:$A$300,"&gt;="&amp;A31-6,Loads!$A$4:$A$300,"&lt;="&amp;A31,Loads!$B$4:$B$300,B31))</f>
        <v/>
      </c>
      <c r="G31" s="15">
        <f>IFERROR(D31/E31,"")</f>
        <v/>
      </c>
      <c r="H31" s="19">
        <f>IFERROR(F31/(E31+F31),"")</f>
        <v/>
      </c>
    </row>
    <row r="32">
      <c r="A32" s="9" t="n"/>
      <c r="B32" s="8" t="n"/>
      <c r="C32" s="13">
        <f>IF(A32="","",COUNTIFS(Loads!$A$4:$A$300,"&gt;="&amp;A32-6,Loads!$A$4:$A$300,"&lt;="&amp;A32,Loads!$B$4:$B$300,B32))</f>
        <v/>
      </c>
      <c r="D32" s="17">
        <f>IF(A32="","",SUMIFS(Loads!$I$4:$I$300,Loads!$A$4:$A$300,"&gt;="&amp;A32-6,Loads!$A$4:$A$300,"&lt;="&amp;A32,Loads!$B$4:$B$300,B32))</f>
        <v/>
      </c>
      <c r="E32" s="13">
        <f>IF(A32="","",SUMIFS(Loads!$G$4:$G$300,Loads!$A$4:$A$300,"&gt;="&amp;A32-6,Loads!$A$4:$A$300,"&lt;="&amp;A32,Loads!$B$4:$B$300,B32))</f>
        <v/>
      </c>
      <c r="F32" s="13">
        <f>IF(A32="","",SUMIFS(Loads!$H$4:$H$300,Loads!$A$4:$A$300,"&gt;="&amp;A32-6,Loads!$A$4:$A$300,"&lt;="&amp;A32,Loads!$B$4:$B$300,B32))</f>
        <v/>
      </c>
      <c r="G32" s="15">
        <f>IFERROR(D32/E32,"")</f>
        <v/>
      </c>
      <c r="H32" s="19">
        <f>IFERROR(F32/(E32+F32),"")</f>
        <v/>
      </c>
    </row>
    <row r="33">
      <c r="A33" s="9" t="n"/>
      <c r="B33" s="8" t="n"/>
      <c r="C33" s="13">
        <f>IF(A33="","",COUNTIFS(Loads!$A$4:$A$300,"&gt;="&amp;A33-6,Loads!$A$4:$A$300,"&lt;="&amp;A33,Loads!$B$4:$B$300,B33))</f>
        <v/>
      </c>
      <c r="D33" s="17">
        <f>IF(A33="","",SUMIFS(Loads!$I$4:$I$300,Loads!$A$4:$A$300,"&gt;="&amp;A33-6,Loads!$A$4:$A$300,"&lt;="&amp;A33,Loads!$B$4:$B$300,B33))</f>
        <v/>
      </c>
      <c r="E33" s="13">
        <f>IF(A33="","",SUMIFS(Loads!$G$4:$G$300,Loads!$A$4:$A$300,"&gt;="&amp;A33-6,Loads!$A$4:$A$300,"&lt;="&amp;A33,Loads!$B$4:$B$300,B33))</f>
        <v/>
      </c>
      <c r="F33" s="13">
        <f>IF(A33="","",SUMIFS(Loads!$H$4:$H$300,Loads!$A$4:$A$300,"&gt;="&amp;A33-6,Loads!$A$4:$A$300,"&lt;="&amp;A33,Loads!$B$4:$B$300,B33))</f>
        <v/>
      </c>
      <c r="G33" s="15">
        <f>IFERROR(D33/E33,"")</f>
        <v/>
      </c>
      <c r="H33" s="19">
        <f>IFERROR(F33/(E33+F33),"")</f>
        <v/>
      </c>
    </row>
    <row r="34">
      <c r="A34" s="9" t="n"/>
      <c r="B34" s="8" t="n"/>
      <c r="C34" s="13">
        <f>IF(A34="","",COUNTIFS(Loads!$A$4:$A$300,"&gt;="&amp;A34-6,Loads!$A$4:$A$300,"&lt;="&amp;A34,Loads!$B$4:$B$300,B34))</f>
        <v/>
      </c>
      <c r="D34" s="17">
        <f>IF(A34="","",SUMIFS(Loads!$I$4:$I$300,Loads!$A$4:$A$300,"&gt;="&amp;A34-6,Loads!$A$4:$A$300,"&lt;="&amp;A34,Loads!$B$4:$B$300,B34))</f>
        <v/>
      </c>
      <c r="E34" s="13">
        <f>IF(A34="","",SUMIFS(Loads!$G$4:$G$300,Loads!$A$4:$A$300,"&gt;="&amp;A34-6,Loads!$A$4:$A$300,"&lt;="&amp;A34,Loads!$B$4:$B$300,B34))</f>
        <v/>
      </c>
      <c r="F34" s="13">
        <f>IF(A34="","",SUMIFS(Loads!$H$4:$H$300,Loads!$A$4:$A$300,"&gt;="&amp;A34-6,Loads!$A$4:$A$300,"&lt;="&amp;A34,Loads!$B$4:$B$300,B34))</f>
        <v/>
      </c>
      <c r="G34" s="15">
        <f>IFERROR(D34/E34,"")</f>
        <v/>
      </c>
      <c r="H34" s="19">
        <f>IFERROR(F34/(E34+F34),"")</f>
        <v/>
      </c>
    </row>
    <row r="35">
      <c r="A35" s="9" t="n"/>
      <c r="B35" s="8" t="n"/>
      <c r="C35" s="13">
        <f>IF(A35="","",COUNTIFS(Loads!$A$4:$A$300,"&gt;="&amp;A35-6,Loads!$A$4:$A$300,"&lt;="&amp;A35,Loads!$B$4:$B$300,B35))</f>
        <v/>
      </c>
      <c r="D35" s="17">
        <f>IF(A35="","",SUMIFS(Loads!$I$4:$I$300,Loads!$A$4:$A$300,"&gt;="&amp;A35-6,Loads!$A$4:$A$300,"&lt;="&amp;A35,Loads!$B$4:$B$300,B35))</f>
        <v/>
      </c>
      <c r="E35" s="13">
        <f>IF(A35="","",SUMIFS(Loads!$G$4:$G$300,Loads!$A$4:$A$300,"&gt;="&amp;A35-6,Loads!$A$4:$A$300,"&lt;="&amp;A35,Loads!$B$4:$B$300,B35))</f>
        <v/>
      </c>
      <c r="F35" s="13">
        <f>IF(A35="","",SUMIFS(Loads!$H$4:$H$300,Loads!$A$4:$A$300,"&gt;="&amp;A35-6,Loads!$A$4:$A$300,"&lt;="&amp;A35,Loads!$B$4:$B$300,B35))</f>
        <v/>
      </c>
      <c r="G35" s="15">
        <f>IFERROR(D35/E35,"")</f>
        <v/>
      </c>
      <c r="H35" s="19">
        <f>IFERROR(F35/(E35+F35),"")</f>
        <v/>
      </c>
    </row>
    <row r="36">
      <c r="A36" s="9" t="n"/>
      <c r="B36" s="8" t="n"/>
      <c r="C36" s="13">
        <f>IF(A36="","",COUNTIFS(Loads!$A$4:$A$300,"&gt;="&amp;A36-6,Loads!$A$4:$A$300,"&lt;="&amp;A36,Loads!$B$4:$B$300,B36))</f>
        <v/>
      </c>
      <c r="D36" s="17">
        <f>IF(A36="","",SUMIFS(Loads!$I$4:$I$300,Loads!$A$4:$A$300,"&gt;="&amp;A36-6,Loads!$A$4:$A$300,"&lt;="&amp;A36,Loads!$B$4:$B$300,B36))</f>
        <v/>
      </c>
      <c r="E36" s="13">
        <f>IF(A36="","",SUMIFS(Loads!$G$4:$G$300,Loads!$A$4:$A$300,"&gt;="&amp;A36-6,Loads!$A$4:$A$300,"&lt;="&amp;A36,Loads!$B$4:$B$300,B36))</f>
        <v/>
      </c>
      <c r="F36" s="13">
        <f>IF(A36="","",SUMIFS(Loads!$H$4:$H$300,Loads!$A$4:$A$300,"&gt;="&amp;A36-6,Loads!$A$4:$A$300,"&lt;="&amp;A36,Loads!$B$4:$B$300,B36))</f>
        <v/>
      </c>
      <c r="G36" s="15">
        <f>IFERROR(D36/E36,"")</f>
        <v/>
      </c>
      <c r="H36" s="19">
        <f>IFERROR(F36/(E36+F36),"")</f>
        <v/>
      </c>
    </row>
    <row r="37">
      <c r="A37" s="9" t="n"/>
      <c r="B37" s="8" t="n"/>
      <c r="C37" s="13">
        <f>IF(A37="","",COUNTIFS(Loads!$A$4:$A$300,"&gt;="&amp;A37-6,Loads!$A$4:$A$300,"&lt;="&amp;A37,Loads!$B$4:$B$300,B37))</f>
        <v/>
      </c>
      <c r="D37" s="17">
        <f>IF(A37="","",SUMIFS(Loads!$I$4:$I$300,Loads!$A$4:$A$300,"&gt;="&amp;A37-6,Loads!$A$4:$A$300,"&lt;="&amp;A37,Loads!$B$4:$B$300,B37))</f>
        <v/>
      </c>
      <c r="E37" s="13">
        <f>IF(A37="","",SUMIFS(Loads!$G$4:$G$300,Loads!$A$4:$A$300,"&gt;="&amp;A37-6,Loads!$A$4:$A$300,"&lt;="&amp;A37,Loads!$B$4:$B$300,B37))</f>
        <v/>
      </c>
      <c r="F37" s="13">
        <f>IF(A37="","",SUMIFS(Loads!$H$4:$H$300,Loads!$A$4:$A$300,"&gt;="&amp;A37-6,Loads!$A$4:$A$300,"&lt;="&amp;A37,Loads!$B$4:$B$300,B37))</f>
        <v/>
      </c>
      <c r="G37" s="15">
        <f>IFERROR(D37/E37,"")</f>
        <v/>
      </c>
      <c r="H37" s="19">
        <f>IFERROR(F37/(E37+F37),"")</f>
        <v/>
      </c>
    </row>
    <row r="38">
      <c r="A38" s="9" t="n"/>
      <c r="B38" s="8" t="n"/>
      <c r="C38" s="13">
        <f>IF(A38="","",COUNTIFS(Loads!$A$4:$A$300,"&gt;="&amp;A38-6,Loads!$A$4:$A$300,"&lt;="&amp;A38,Loads!$B$4:$B$300,B38))</f>
        <v/>
      </c>
      <c r="D38" s="17">
        <f>IF(A38="","",SUMIFS(Loads!$I$4:$I$300,Loads!$A$4:$A$300,"&gt;="&amp;A38-6,Loads!$A$4:$A$300,"&lt;="&amp;A38,Loads!$B$4:$B$300,B38))</f>
        <v/>
      </c>
      <c r="E38" s="13">
        <f>IF(A38="","",SUMIFS(Loads!$G$4:$G$300,Loads!$A$4:$A$300,"&gt;="&amp;A38-6,Loads!$A$4:$A$300,"&lt;="&amp;A38,Loads!$B$4:$B$300,B38))</f>
        <v/>
      </c>
      <c r="F38" s="13">
        <f>IF(A38="","",SUMIFS(Loads!$H$4:$H$300,Loads!$A$4:$A$300,"&gt;="&amp;A38-6,Loads!$A$4:$A$300,"&lt;="&amp;A38,Loads!$B$4:$B$300,B38))</f>
        <v/>
      </c>
      <c r="G38" s="15">
        <f>IFERROR(D38/E38,"")</f>
        <v/>
      </c>
      <c r="H38" s="19">
        <f>IFERROR(F38/(E38+F38),"")</f>
        <v/>
      </c>
    </row>
    <row r="39">
      <c r="A39" s="9" t="n"/>
      <c r="B39" s="8" t="n"/>
      <c r="C39" s="13">
        <f>IF(A39="","",COUNTIFS(Loads!$A$4:$A$300,"&gt;="&amp;A39-6,Loads!$A$4:$A$300,"&lt;="&amp;A39,Loads!$B$4:$B$300,B39))</f>
        <v/>
      </c>
      <c r="D39" s="17">
        <f>IF(A39="","",SUMIFS(Loads!$I$4:$I$300,Loads!$A$4:$A$300,"&gt;="&amp;A39-6,Loads!$A$4:$A$300,"&lt;="&amp;A39,Loads!$B$4:$B$300,B39))</f>
        <v/>
      </c>
      <c r="E39" s="13">
        <f>IF(A39="","",SUMIFS(Loads!$G$4:$G$300,Loads!$A$4:$A$300,"&gt;="&amp;A39-6,Loads!$A$4:$A$300,"&lt;="&amp;A39,Loads!$B$4:$B$300,B39))</f>
        <v/>
      </c>
      <c r="F39" s="13">
        <f>IF(A39="","",SUMIFS(Loads!$H$4:$H$300,Loads!$A$4:$A$300,"&gt;="&amp;A39-6,Loads!$A$4:$A$300,"&lt;="&amp;A39,Loads!$B$4:$B$300,B39))</f>
        <v/>
      </c>
      <c r="G39" s="15">
        <f>IFERROR(D39/E39,"")</f>
        <v/>
      </c>
      <c r="H39" s="19">
        <f>IFERROR(F39/(E39+F39),"")</f>
        <v/>
      </c>
    </row>
    <row r="40">
      <c r="A40" s="9" t="n"/>
      <c r="B40" s="8" t="n"/>
      <c r="C40" s="13">
        <f>IF(A40="","",COUNTIFS(Loads!$A$4:$A$300,"&gt;="&amp;A40-6,Loads!$A$4:$A$300,"&lt;="&amp;A40,Loads!$B$4:$B$300,B40))</f>
        <v/>
      </c>
      <c r="D40" s="17">
        <f>IF(A40="","",SUMIFS(Loads!$I$4:$I$300,Loads!$A$4:$A$300,"&gt;="&amp;A40-6,Loads!$A$4:$A$300,"&lt;="&amp;A40,Loads!$B$4:$B$300,B40))</f>
        <v/>
      </c>
      <c r="E40" s="13">
        <f>IF(A40="","",SUMIFS(Loads!$G$4:$G$300,Loads!$A$4:$A$300,"&gt;="&amp;A40-6,Loads!$A$4:$A$300,"&lt;="&amp;A40,Loads!$B$4:$B$300,B40))</f>
        <v/>
      </c>
      <c r="F40" s="13">
        <f>IF(A40="","",SUMIFS(Loads!$H$4:$H$300,Loads!$A$4:$A$300,"&gt;="&amp;A40-6,Loads!$A$4:$A$300,"&lt;="&amp;A40,Loads!$B$4:$B$300,B40))</f>
        <v/>
      </c>
      <c r="G40" s="15">
        <f>IFERROR(D40/E40,"")</f>
        <v/>
      </c>
      <c r="H40" s="19">
        <f>IFERROR(F40/(E40+F40),"")</f>
        <v/>
      </c>
    </row>
    <row r="41">
      <c r="A41" s="9" t="n"/>
      <c r="B41" s="8" t="n"/>
      <c r="C41" s="13">
        <f>IF(A41="","",COUNTIFS(Loads!$A$4:$A$300,"&gt;="&amp;A41-6,Loads!$A$4:$A$300,"&lt;="&amp;A41,Loads!$B$4:$B$300,B41))</f>
        <v/>
      </c>
      <c r="D41" s="17">
        <f>IF(A41="","",SUMIFS(Loads!$I$4:$I$300,Loads!$A$4:$A$300,"&gt;="&amp;A41-6,Loads!$A$4:$A$300,"&lt;="&amp;A41,Loads!$B$4:$B$300,B41))</f>
        <v/>
      </c>
      <c r="E41" s="13">
        <f>IF(A41="","",SUMIFS(Loads!$G$4:$G$300,Loads!$A$4:$A$300,"&gt;="&amp;A41-6,Loads!$A$4:$A$300,"&lt;="&amp;A41,Loads!$B$4:$B$300,B41))</f>
        <v/>
      </c>
      <c r="F41" s="13">
        <f>IF(A41="","",SUMIFS(Loads!$H$4:$H$300,Loads!$A$4:$A$300,"&gt;="&amp;A41-6,Loads!$A$4:$A$300,"&lt;="&amp;A41,Loads!$B$4:$B$300,B41))</f>
        <v/>
      </c>
      <c r="G41" s="15">
        <f>IFERROR(D41/E41,"")</f>
        <v/>
      </c>
      <c r="H41" s="19">
        <f>IFERROR(F41/(E41+F41),"")</f>
        <v/>
      </c>
    </row>
    <row r="42">
      <c r="A42" s="9" t="n"/>
      <c r="B42" s="8" t="n"/>
      <c r="C42" s="13">
        <f>IF(A42="","",COUNTIFS(Loads!$A$4:$A$300,"&gt;="&amp;A42-6,Loads!$A$4:$A$300,"&lt;="&amp;A42,Loads!$B$4:$B$300,B42))</f>
        <v/>
      </c>
      <c r="D42" s="17">
        <f>IF(A42="","",SUMIFS(Loads!$I$4:$I$300,Loads!$A$4:$A$300,"&gt;="&amp;A42-6,Loads!$A$4:$A$300,"&lt;="&amp;A42,Loads!$B$4:$B$300,B42))</f>
        <v/>
      </c>
      <c r="E42" s="13">
        <f>IF(A42="","",SUMIFS(Loads!$G$4:$G$300,Loads!$A$4:$A$300,"&gt;="&amp;A42-6,Loads!$A$4:$A$300,"&lt;="&amp;A42,Loads!$B$4:$B$300,B42))</f>
        <v/>
      </c>
      <c r="F42" s="13">
        <f>IF(A42="","",SUMIFS(Loads!$H$4:$H$300,Loads!$A$4:$A$300,"&gt;="&amp;A42-6,Loads!$A$4:$A$300,"&lt;="&amp;A42,Loads!$B$4:$B$300,B42))</f>
        <v/>
      </c>
      <c r="G42" s="15">
        <f>IFERROR(D42/E42,"")</f>
        <v/>
      </c>
      <c r="H42" s="19">
        <f>IFERROR(F42/(E42+F42),"")</f>
        <v/>
      </c>
    </row>
    <row r="43">
      <c r="A43" s="9" t="n"/>
      <c r="B43" s="8" t="n"/>
      <c r="C43" s="13">
        <f>IF(A43="","",COUNTIFS(Loads!$A$4:$A$300,"&gt;="&amp;A43-6,Loads!$A$4:$A$300,"&lt;="&amp;A43,Loads!$B$4:$B$300,B43))</f>
        <v/>
      </c>
      <c r="D43" s="17">
        <f>IF(A43="","",SUMIFS(Loads!$I$4:$I$300,Loads!$A$4:$A$300,"&gt;="&amp;A43-6,Loads!$A$4:$A$300,"&lt;="&amp;A43,Loads!$B$4:$B$300,B43))</f>
        <v/>
      </c>
      <c r="E43" s="13">
        <f>IF(A43="","",SUMIFS(Loads!$G$4:$G$300,Loads!$A$4:$A$300,"&gt;="&amp;A43-6,Loads!$A$4:$A$300,"&lt;="&amp;A43,Loads!$B$4:$B$300,B43))</f>
        <v/>
      </c>
      <c r="F43" s="13">
        <f>IF(A43="","",SUMIFS(Loads!$H$4:$H$300,Loads!$A$4:$A$300,"&gt;="&amp;A43-6,Loads!$A$4:$A$300,"&lt;="&amp;A43,Loads!$B$4:$B$300,B43))</f>
        <v/>
      </c>
      <c r="G43" s="15">
        <f>IFERROR(D43/E43,"")</f>
        <v/>
      </c>
      <c r="H43" s="19">
        <f>IFERROR(F43/(E43+F43),"")</f>
        <v/>
      </c>
    </row>
    <row r="44">
      <c r="A44" s="9" t="n"/>
      <c r="B44" s="8" t="n"/>
      <c r="C44" s="13">
        <f>IF(A44="","",COUNTIFS(Loads!$A$4:$A$300,"&gt;="&amp;A44-6,Loads!$A$4:$A$300,"&lt;="&amp;A44,Loads!$B$4:$B$300,B44))</f>
        <v/>
      </c>
      <c r="D44" s="17">
        <f>IF(A44="","",SUMIFS(Loads!$I$4:$I$300,Loads!$A$4:$A$300,"&gt;="&amp;A44-6,Loads!$A$4:$A$300,"&lt;="&amp;A44,Loads!$B$4:$B$300,B44))</f>
        <v/>
      </c>
      <c r="E44" s="13">
        <f>IF(A44="","",SUMIFS(Loads!$G$4:$G$300,Loads!$A$4:$A$300,"&gt;="&amp;A44-6,Loads!$A$4:$A$300,"&lt;="&amp;A44,Loads!$B$4:$B$300,B44))</f>
        <v/>
      </c>
      <c r="F44" s="13">
        <f>IF(A44="","",SUMIFS(Loads!$H$4:$H$300,Loads!$A$4:$A$300,"&gt;="&amp;A44-6,Loads!$A$4:$A$300,"&lt;="&amp;A44,Loads!$B$4:$B$300,B44))</f>
        <v/>
      </c>
      <c r="G44" s="15">
        <f>IFERROR(D44/E44,"")</f>
        <v/>
      </c>
      <c r="H44" s="19">
        <f>IFERROR(F44/(E44+F44),"")</f>
        <v/>
      </c>
    </row>
    <row r="45">
      <c r="A45" s="9" t="n"/>
      <c r="B45" s="8" t="n"/>
      <c r="C45" s="13">
        <f>IF(A45="","",COUNTIFS(Loads!$A$4:$A$300,"&gt;="&amp;A45-6,Loads!$A$4:$A$300,"&lt;="&amp;A45,Loads!$B$4:$B$300,B45))</f>
        <v/>
      </c>
      <c r="D45" s="17">
        <f>IF(A45="","",SUMIFS(Loads!$I$4:$I$300,Loads!$A$4:$A$300,"&gt;="&amp;A45-6,Loads!$A$4:$A$300,"&lt;="&amp;A45,Loads!$B$4:$B$300,B45))</f>
        <v/>
      </c>
      <c r="E45" s="13">
        <f>IF(A45="","",SUMIFS(Loads!$G$4:$G$300,Loads!$A$4:$A$300,"&gt;="&amp;A45-6,Loads!$A$4:$A$300,"&lt;="&amp;A45,Loads!$B$4:$B$300,B45))</f>
        <v/>
      </c>
      <c r="F45" s="13">
        <f>IF(A45="","",SUMIFS(Loads!$H$4:$H$300,Loads!$A$4:$A$300,"&gt;="&amp;A45-6,Loads!$A$4:$A$300,"&lt;="&amp;A45,Loads!$B$4:$B$300,B45))</f>
        <v/>
      </c>
      <c r="G45" s="15">
        <f>IFERROR(D45/E45,"")</f>
        <v/>
      </c>
      <c r="H45" s="19">
        <f>IFERROR(F45/(E45+F45),"")</f>
        <v/>
      </c>
    </row>
    <row r="46">
      <c r="A46" s="9" t="n"/>
      <c r="B46" s="8" t="n"/>
      <c r="C46" s="13">
        <f>IF(A46="","",COUNTIFS(Loads!$A$4:$A$300,"&gt;="&amp;A46-6,Loads!$A$4:$A$300,"&lt;="&amp;A46,Loads!$B$4:$B$300,B46))</f>
        <v/>
      </c>
      <c r="D46" s="17">
        <f>IF(A46="","",SUMIFS(Loads!$I$4:$I$300,Loads!$A$4:$A$300,"&gt;="&amp;A46-6,Loads!$A$4:$A$300,"&lt;="&amp;A46,Loads!$B$4:$B$300,B46))</f>
        <v/>
      </c>
      <c r="E46" s="13">
        <f>IF(A46="","",SUMIFS(Loads!$G$4:$G$300,Loads!$A$4:$A$300,"&gt;="&amp;A46-6,Loads!$A$4:$A$300,"&lt;="&amp;A46,Loads!$B$4:$B$300,B46))</f>
        <v/>
      </c>
      <c r="F46" s="13">
        <f>IF(A46="","",SUMIFS(Loads!$H$4:$H$300,Loads!$A$4:$A$300,"&gt;="&amp;A46-6,Loads!$A$4:$A$300,"&lt;="&amp;A46,Loads!$B$4:$B$300,B46))</f>
        <v/>
      </c>
      <c r="G46" s="15">
        <f>IFERROR(D46/E46,"")</f>
        <v/>
      </c>
      <c r="H46" s="19">
        <f>IFERROR(F46/(E46+F46),"")</f>
        <v/>
      </c>
    </row>
    <row r="47">
      <c r="A47" s="9" t="n"/>
      <c r="B47" s="8" t="n"/>
      <c r="C47" s="13">
        <f>IF(A47="","",COUNTIFS(Loads!$A$4:$A$300,"&gt;="&amp;A47-6,Loads!$A$4:$A$300,"&lt;="&amp;A47,Loads!$B$4:$B$300,B47))</f>
        <v/>
      </c>
      <c r="D47" s="17">
        <f>IF(A47="","",SUMIFS(Loads!$I$4:$I$300,Loads!$A$4:$A$300,"&gt;="&amp;A47-6,Loads!$A$4:$A$300,"&lt;="&amp;A47,Loads!$B$4:$B$300,B47))</f>
        <v/>
      </c>
      <c r="E47" s="13">
        <f>IF(A47="","",SUMIFS(Loads!$G$4:$G$300,Loads!$A$4:$A$300,"&gt;="&amp;A47-6,Loads!$A$4:$A$300,"&lt;="&amp;A47,Loads!$B$4:$B$300,B47))</f>
        <v/>
      </c>
      <c r="F47" s="13">
        <f>IF(A47="","",SUMIFS(Loads!$H$4:$H$300,Loads!$A$4:$A$300,"&gt;="&amp;A47-6,Loads!$A$4:$A$300,"&lt;="&amp;A47,Loads!$B$4:$B$300,B47))</f>
        <v/>
      </c>
      <c r="G47" s="15">
        <f>IFERROR(D47/E47,"")</f>
        <v/>
      </c>
      <c r="H47" s="19">
        <f>IFERROR(F47/(E47+F47),"")</f>
        <v/>
      </c>
    </row>
    <row r="48">
      <c r="A48" s="9" t="n"/>
      <c r="B48" s="8" t="n"/>
      <c r="C48" s="13">
        <f>IF(A48="","",COUNTIFS(Loads!$A$4:$A$300,"&gt;="&amp;A48-6,Loads!$A$4:$A$300,"&lt;="&amp;A48,Loads!$B$4:$B$300,B48))</f>
        <v/>
      </c>
      <c r="D48" s="17">
        <f>IF(A48="","",SUMIFS(Loads!$I$4:$I$300,Loads!$A$4:$A$300,"&gt;="&amp;A48-6,Loads!$A$4:$A$300,"&lt;="&amp;A48,Loads!$B$4:$B$300,B48))</f>
        <v/>
      </c>
      <c r="E48" s="13">
        <f>IF(A48="","",SUMIFS(Loads!$G$4:$G$300,Loads!$A$4:$A$300,"&gt;="&amp;A48-6,Loads!$A$4:$A$300,"&lt;="&amp;A48,Loads!$B$4:$B$300,B48))</f>
        <v/>
      </c>
      <c r="F48" s="13">
        <f>IF(A48="","",SUMIFS(Loads!$H$4:$H$300,Loads!$A$4:$A$300,"&gt;="&amp;A48-6,Loads!$A$4:$A$300,"&lt;="&amp;A48,Loads!$B$4:$B$300,B48))</f>
        <v/>
      </c>
      <c r="G48" s="15">
        <f>IFERROR(D48/E48,"")</f>
        <v/>
      </c>
      <c r="H48" s="19">
        <f>IFERROR(F48/(E48+F48),"")</f>
        <v/>
      </c>
    </row>
    <row r="49">
      <c r="A49" s="9" t="n"/>
      <c r="B49" s="8" t="n"/>
      <c r="C49" s="13">
        <f>IF(A49="","",COUNTIFS(Loads!$A$4:$A$300,"&gt;="&amp;A49-6,Loads!$A$4:$A$300,"&lt;="&amp;A49,Loads!$B$4:$B$300,B49))</f>
        <v/>
      </c>
      <c r="D49" s="17">
        <f>IF(A49="","",SUMIFS(Loads!$I$4:$I$300,Loads!$A$4:$A$300,"&gt;="&amp;A49-6,Loads!$A$4:$A$300,"&lt;="&amp;A49,Loads!$B$4:$B$300,B49))</f>
        <v/>
      </c>
      <c r="E49" s="13">
        <f>IF(A49="","",SUMIFS(Loads!$G$4:$G$300,Loads!$A$4:$A$300,"&gt;="&amp;A49-6,Loads!$A$4:$A$300,"&lt;="&amp;A49,Loads!$B$4:$B$300,B49))</f>
        <v/>
      </c>
      <c r="F49" s="13">
        <f>IF(A49="","",SUMIFS(Loads!$H$4:$H$300,Loads!$A$4:$A$300,"&gt;="&amp;A49-6,Loads!$A$4:$A$300,"&lt;="&amp;A49,Loads!$B$4:$B$300,B49))</f>
        <v/>
      </c>
      <c r="G49" s="15">
        <f>IFERROR(D49/E49,"")</f>
        <v/>
      </c>
      <c r="H49" s="19">
        <f>IFERROR(F49/(E49+F49),"")</f>
        <v/>
      </c>
    </row>
    <row r="50">
      <c r="A50" s="9" t="n"/>
      <c r="B50" s="8" t="n"/>
      <c r="C50" s="13">
        <f>IF(A50="","",COUNTIFS(Loads!$A$4:$A$300,"&gt;="&amp;A50-6,Loads!$A$4:$A$300,"&lt;="&amp;A50,Loads!$B$4:$B$300,B50))</f>
        <v/>
      </c>
      <c r="D50" s="17">
        <f>IF(A50="","",SUMIFS(Loads!$I$4:$I$300,Loads!$A$4:$A$300,"&gt;="&amp;A50-6,Loads!$A$4:$A$300,"&lt;="&amp;A50,Loads!$B$4:$B$300,B50))</f>
        <v/>
      </c>
      <c r="E50" s="13">
        <f>IF(A50="","",SUMIFS(Loads!$G$4:$G$300,Loads!$A$4:$A$300,"&gt;="&amp;A50-6,Loads!$A$4:$A$300,"&lt;="&amp;A50,Loads!$B$4:$B$300,B50))</f>
        <v/>
      </c>
      <c r="F50" s="13">
        <f>IF(A50="","",SUMIFS(Loads!$H$4:$H$300,Loads!$A$4:$A$300,"&gt;="&amp;A50-6,Loads!$A$4:$A$300,"&lt;="&amp;A50,Loads!$B$4:$B$300,B50))</f>
        <v/>
      </c>
      <c r="G50" s="15">
        <f>IFERROR(D50/E50,"")</f>
        <v/>
      </c>
      <c r="H50" s="19">
        <f>IFERROR(F50/(E50+F50),"")</f>
        <v/>
      </c>
    </row>
    <row r="51">
      <c r="A51" s="9" t="n"/>
      <c r="B51" s="8" t="n"/>
      <c r="C51" s="13">
        <f>IF(A51="","",COUNTIFS(Loads!$A$4:$A$300,"&gt;="&amp;A51-6,Loads!$A$4:$A$300,"&lt;="&amp;A51,Loads!$B$4:$B$300,B51))</f>
        <v/>
      </c>
      <c r="D51" s="17">
        <f>IF(A51="","",SUMIFS(Loads!$I$4:$I$300,Loads!$A$4:$A$300,"&gt;="&amp;A51-6,Loads!$A$4:$A$300,"&lt;="&amp;A51,Loads!$B$4:$B$300,B51))</f>
        <v/>
      </c>
      <c r="E51" s="13">
        <f>IF(A51="","",SUMIFS(Loads!$G$4:$G$300,Loads!$A$4:$A$300,"&gt;="&amp;A51-6,Loads!$A$4:$A$300,"&lt;="&amp;A51,Loads!$B$4:$B$300,B51))</f>
        <v/>
      </c>
      <c r="F51" s="13">
        <f>IF(A51="","",SUMIFS(Loads!$H$4:$H$300,Loads!$A$4:$A$300,"&gt;="&amp;A51-6,Loads!$A$4:$A$300,"&lt;="&amp;A51,Loads!$B$4:$B$300,B51))</f>
        <v/>
      </c>
      <c r="G51" s="15">
        <f>IFERROR(D51/E51,"")</f>
        <v/>
      </c>
      <c r="H51" s="19">
        <f>IFERROR(F51/(E51+F51),"")</f>
        <v/>
      </c>
    </row>
    <row r="52">
      <c r="A52" s="9" t="n"/>
      <c r="B52" s="8" t="n"/>
      <c r="C52" s="13">
        <f>IF(A52="","",COUNTIFS(Loads!$A$4:$A$300,"&gt;="&amp;A52-6,Loads!$A$4:$A$300,"&lt;="&amp;A52,Loads!$B$4:$B$300,B52))</f>
        <v/>
      </c>
      <c r="D52" s="17">
        <f>IF(A52="","",SUMIFS(Loads!$I$4:$I$300,Loads!$A$4:$A$300,"&gt;="&amp;A52-6,Loads!$A$4:$A$300,"&lt;="&amp;A52,Loads!$B$4:$B$300,B52))</f>
        <v/>
      </c>
      <c r="E52" s="13">
        <f>IF(A52="","",SUMIFS(Loads!$G$4:$G$300,Loads!$A$4:$A$300,"&gt;="&amp;A52-6,Loads!$A$4:$A$300,"&lt;="&amp;A52,Loads!$B$4:$B$300,B52))</f>
        <v/>
      </c>
      <c r="F52" s="13">
        <f>IF(A52="","",SUMIFS(Loads!$H$4:$H$300,Loads!$A$4:$A$300,"&gt;="&amp;A52-6,Loads!$A$4:$A$300,"&lt;="&amp;A52,Loads!$B$4:$B$300,B52))</f>
        <v/>
      </c>
      <c r="G52" s="15">
        <f>IFERROR(D52/E52,"")</f>
        <v/>
      </c>
      <c r="H52" s="19">
        <f>IFERROR(F52/(E52+F52),"")</f>
        <v/>
      </c>
    </row>
    <row r="53">
      <c r="A53" s="9" t="n"/>
      <c r="B53" s="8" t="n"/>
      <c r="C53" s="13">
        <f>IF(A53="","",COUNTIFS(Loads!$A$4:$A$300,"&gt;="&amp;A53-6,Loads!$A$4:$A$300,"&lt;="&amp;A53,Loads!$B$4:$B$300,B53))</f>
        <v/>
      </c>
      <c r="D53" s="17">
        <f>IF(A53="","",SUMIFS(Loads!$I$4:$I$300,Loads!$A$4:$A$300,"&gt;="&amp;A53-6,Loads!$A$4:$A$300,"&lt;="&amp;A53,Loads!$B$4:$B$300,B53))</f>
        <v/>
      </c>
      <c r="E53" s="13">
        <f>IF(A53="","",SUMIFS(Loads!$G$4:$G$300,Loads!$A$4:$A$300,"&gt;="&amp;A53-6,Loads!$A$4:$A$300,"&lt;="&amp;A53,Loads!$B$4:$B$300,B53))</f>
        <v/>
      </c>
      <c r="F53" s="13">
        <f>IF(A53="","",SUMIFS(Loads!$H$4:$H$300,Loads!$A$4:$A$300,"&gt;="&amp;A53-6,Loads!$A$4:$A$300,"&lt;="&amp;A53,Loads!$B$4:$B$300,B53))</f>
        <v/>
      </c>
      <c r="G53" s="15">
        <f>IFERROR(D53/E53,"")</f>
        <v/>
      </c>
      <c r="H53" s="19">
        <f>IFERROR(F53/(E53+F53),"")</f>
        <v/>
      </c>
    </row>
    <row r="54">
      <c r="A54" s="9" t="n"/>
      <c r="B54" s="8" t="n"/>
      <c r="C54" s="13">
        <f>IF(A54="","",COUNTIFS(Loads!$A$4:$A$300,"&gt;="&amp;A54-6,Loads!$A$4:$A$300,"&lt;="&amp;A54,Loads!$B$4:$B$300,B54))</f>
        <v/>
      </c>
      <c r="D54" s="17">
        <f>IF(A54="","",SUMIFS(Loads!$I$4:$I$300,Loads!$A$4:$A$300,"&gt;="&amp;A54-6,Loads!$A$4:$A$300,"&lt;="&amp;A54,Loads!$B$4:$B$300,B54))</f>
        <v/>
      </c>
      <c r="E54" s="13">
        <f>IF(A54="","",SUMIFS(Loads!$G$4:$G$300,Loads!$A$4:$A$300,"&gt;="&amp;A54-6,Loads!$A$4:$A$300,"&lt;="&amp;A54,Loads!$B$4:$B$300,B54))</f>
        <v/>
      </c>
      <c r="F54" s="13">
        <f>IF(A54="","",SUMIFS(Loads!$H$4:$H$300,Loads!$A$4:$A$300,"&gt;="&amp;A54-6,Loads!$A$4:$A$300,"&lt;="&amp;A54,Loads!$B$4:$B$300,B54))</f>
        <v/>
      </c>
      <c r="G54" s="15">
        <f>IFERROR(D54/E54,"")</f>
        <v/>
      </c>
      <c r="H54" s="19">
        <f>IFERROR(F54/(E54+F54),"")</f>
        <v/>
      </c>
    </row>
    <row r="55">
      <c r="A55" s="9" t="n"/>
      <c r="B55" s="8" t="n"/>
      <c r="C55" s="13">
        <f>IF(A55="","",COUNTIFS(Loads!$A$4:$A$300,"&gt;="&amp;A55-6,Loads!$A$4:$A$300,"&lt;="&amp;A55,Loads!$B$4:$B$300,B55))</f>
        <v/>
      </c>
      <c r="D55" s="17">
        <f>IF(A55="","",SUMIFS(Loads!$I$4:$I$300,Loads!$A$4:$A$300,"&gt;="&amp;A55-6,Loads!$A$4:$A$300,"&lt;="&amp;A55,Loads!$B$4:$B$300,B55))</f>
        <v/>
      </c>
      <c r="E55" s="13">
        <f>IF(A55="","",SUMIFS(Loads!$G$4:$G$300,Loads!$A$4:$A$300,"&gt;="&amp;A55-6,Loads!$A$4:$A$300,"&lt;="&amp;A55,Loads!$B$4:$B$300,B55))</f>
        <v/>
      </c>
      <c r="F55" s="13">
        <f>IF(A55="","",SUMIFS(Loads!$H$4:$H$300,Loads!$A$4:$A$300,"&gt;="&amp;A55-6,Loads!$A$4:$A$300,"&lt;="&amp;A55,Loads!$B$4:$B$300,B55))</f>
        <v/>
      </c>
      <c r="G55" s="15">
        <f>IFERROR(D55/E55,"")</f>
        <v/>
      </c>
      <c r="H55" s="19">
        <f>IFERROR(F55/(E55+F55),"")</f>
        <v/>
      </c>
    </row>
    <row r="56">
      <c r="A56" s="9" t="n"/>
      <c r="B56" s="8" t="n"/>
      <c r="C56" s="13">
        <f>IF(A56="","",COUNTIFS(Loads!$A$4:$A$300,"&gt;="&amp;A56-6,Loads!$A$4:$A$300,"&lt;="&amp;A56,Loads!$B$4:$B$300,B56))</f>
        <v/>
      </c>
      <c r="D56" s="17">
        <f>IF(A56="","",SUMIFS(Loads!$I$4:$I$300,Loads!$A$4:$A$300,"&gt;="&amp;A56-6,Loads!$A$4:$A$300,"&lt;="&amp;A56,Loads!$B$4:$B$300,B56))</f>
        <v/>
      </c>
      <c r="E56" s="13">
        <f>IF(A56="","",SUMIFS(Loads!$G$4:$G$300,Loads!$A$4:$A$300,"&gt;="&amp;A56-6,Loads!$A$4:$A$300,"&lt;="&amp;A56,Loads!$B$4:$B$300,B56))</f>
        <v/>
      </c>
      <c r="F56" s="13">
        <f>IF(A56="","",SUMIFS(Loads!$H$4:$H$300,Loads!$A$4:$A$300,"&gt;="&amp;A56-6,Loads!$A$4:$A$300,"&lt;="&amp;A56,Loads!$B$4:$B$300,B56))</f>
        <v/>
      </c>
      <c r="G56" s="15">
        <f>IFERROR(D56/E56,"")</f>
        <v/>
      </c>
      <c r="H56" s="19">
        <f>IFERROR(F56/(E56+F56),"")</f>
        <v/>
      </c>
    </row>
    <row r="57">
      <c r="A57" s="9" t="n"/>
      <c r="B57" s="8" t="n"/>
      <c r="C57" s="13">
        <f>IF(A57="","",COUNTIFS(Loads!$A$4:$A$300,"&gt;="&amp;A57-6,Loads!$A$4:$A$300,"&lt;="&amp;A57,Loads!$B$4:$B$300,B57))</f>
        <v/>
      </c>
      <c r="D57" s="17">
        <f>IF(A57="","",SUMIFS(Loads!$I$4:$I$300,Loads!$A$4:$A$300,"&gt;="&amp;A57-6,Loads!$A$4:$A$300,"&lt;="&amp;A57,Loads!$B$4:$B$300,B57))</f>
        <v/>
      </c>
      <c r="E57" s="13">
        <f>IF(A57="","",SUMIFS(Loads!$G$4:$G$300,Loads!$A$4:$A$300,"&gt;="&amp;A57-6,Loads!$A$4:$A$300,"&lt;="&amp;A57,Loads!$B$4:$B$300,B57))</f>
        <v/>
      </c>
      <c r="F57" s="13">
        <f>IF(A57="","",SUMIFS(Loads!$H$4:$H$300,Loads!$A$4:$A$300,"&gt;="&amp;A57-6,Loads!$A$4:$A$300,"&lt;="&amp;A57,Loads!$B$4:$B$300,B57))</f>
        <v/>
      </c>
      <c r="G57" s="15">
        <f>IFERROR(D57/E57,"")</f>
        <v/>
      </c>
      <c r="H57" s="19">
        <f>IFERROR(F57/(E57+F57),"")</f>
        <v/>
      </c>
    </row>
    <row r="58">
      <c r="A58" s="9" t="n"/>
      <c r="B58" s="8" t="n"/>
      <c r="C58" s="13">
        <f>IF(A58="","",COUNTIFS(Loads!$A$4:$A$300,"&gt;="&amp;A58-6,Loads!$A$4:$A$300,"&lt;="&amp;A58,Loads!$B$4:$B$300,B58))</f>
        <v/>
      </c>
      <c r="D58" s="17">
        <f>IF(A58="","",SUMIFS(Loads!$I$4:$I$300,Loads!$A$4:$A$300,"&gt;="&amp;A58-6,Loads!$A$4:$A$300,"&lt;="&amp;A58,Loads!$B$4:$B$300,B58))</f>
        <v/>
      </c>
      <c r="E58" s="13">
        <f>IF(A58="","",SUMIFS(Loads!$G$4:$G$300,Loads!$A$4:$A$300,"&gt;="&amp;A58-6,Loads!$A$4:$A$300,"&lt;="&amp;A58,Loads!$B$4:$B$300,B58))</f>
        <v/>
      </c>
      <c r="F58" s="13">
        <f>IF(A58="","",SUMIFS(Loads!$H$4:$H$300,Loads!$A$4:$A$300,"&gt;="&amp;A58-6,Loads!$A$4:$A$300,"&lt;="&amp;A58,Loads!$B$4:$B$300,B58))</f>
        <v/>
      </c>
      <c r="G58" s="15">
        <f>IFERROR(D58/E58,"")</f>
        <v/>
      </c>
      <c r="H58" s="19">
        <f>IFERROR(F58/(E58+F58),"")</f>
        <v/>
      </c>
    </row>
    <row r="59">
      <c r="A59" s="9" t="n"/>
      <c r="B59" s="8" t="n"/>
      <c r="C59" s="13">
        <f>IF(A59="","",COUNTIFS(Loads!$A$4:$A$300,"&gt;="&amp;A59-6,Loads!$A$4:$A$300,"&lt;="&amp;A59,Loads!$B$4:$B$300,B59))</f>
        <v/>
      </c>
      <c r="D59" s="17">
        <f>IF(A59="","",SUMIFS(Loads!$I$4:$I$300,Loads!$A$4:$A$300,"&gt;="&amp;A59-6,Loads!$A$4:$A$300,"&lt;="&amp;A59,Loads!$B$4:$B$300,B59))</f>
        <v/>
      </c>
      <c r="E59" s="13">
        <f>IF(A59="","",SUMIFS(Loads!$G$4:$G$300,Loads!$A$4:$A$300,"&gt;="&amp;A59-6,Loads!$A$4:$A$300,"&lt;="&amp;A59,Loads!$B$4:$B$300,B59))</f>
        <v/>
      </c>
      <c r="F59" s="13">
        <f>IF(A59="","",SUMIFS(Loads!$H$4:$H$300,Loads!$A$4:$A$300,"&gt;="&amp;A59-6,Loads!$A$4:$A$300,"&lt;="&amp;A59,Loads!$B$4:$B$300,B59))</f>
        <v/>
      </c>
      <c r="G59" s="15">
        <f>IFERROR(D59/E59,"")</f>
        <v/>
      </c>
      <c r="H59" s="19">
        <f>IFERROR(F59/(E59+F59),"")</f>
        <v/>
      </c>
    </row>
    <row r="60">
      <c r="A60" s="9" t="n"/>
      <c r="B60" s="8" t="n"/>
      <c r="C60" s="13">
        <f>IF(A60="","",COUNTIFS(Loads!$A$4:$A$300,"&gt;="&amp;A60-6,Loads!$A$4:$A$300,"&lt;="&amp;A60,Loads!$B$4:$B$300,B60))</f>
        <v/>
      </c>
      <c r="D60" s="17">
        <f>IF(A60="","",SUMIFS(Loads!$I$4:$I$300,Loads!$A$4:$A$300,"&gt;="&amp;A60-6,Loads!$A$4:$A$300,"&lt;="&amp;A60,Loads!$B$4:$B$300,B60))</f>
        <v/>
      </c>
      <c r="E60" s="13">
        <f>IF(A60="","",SUMIFS(Loads!$G$4:$G$300,Loads!$A$4:$A$300,"&gt;="&amp;A60-6,Loads!$A$4:$A$300,"&lt;="&amp;A60,Loads!$B$4:$B$300,B60))</f>
        <v/>
      </c>
      <c r="F60" s="13">
        <f>IF(A60="","",SUMIFS(Loads!$H$4:$H$300,Loads!$A$4:$A$300,"&gt;="&amp;A60-6,Loads!$A$4:$A$300,"&lt;="&amp;A60,Loads!$B$4:$B$300,B60))</f>
        <v/>
      </c>
      <c r="G60" s="15">
        <f>IFERROR(D60/E60,"")</f>
        <v/>
      </c>
      <c r="H60" s="19">
        <f>IFERROR(F60/(E60+F60),"")</f>
        <v/>
      </c>
    </row>
  </sheetData>
  <conditionalFormatting sqref="H4:H60">
    <cfRule type="cellIs" priority="1" operator="greaterThan" dxfId="3">
      <formula>0.15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  <col width="11" customWidth="1" min="4" max="4"/>
    <col width="16" customWidth="1" min="5" max="5"/>
  </cols>
  <sheetData>
    <row r="1">
      <c r="A1" s="1" t="inlineStr">
        <is>
          <t>STEADHAUL DISPATCH — DISPATCHER CAPACITY</t>
        </is>
      </c>
    </row>
    <row r="2">
      <c r="A2" s="2" t="inlineStr">
        <is>
          <t>The site promises a hard cap of 8 trucks per dispatcher. Put the dispatcher's initials in column D of the Carriers tab and this counts them.</t>
        </is>
      </c>
    </row>
    <row r="3">
      <c r="A3" s="20" t="inlineStr">
        <is>
          <t>Dispatcher</t>
        </is>
      </c>
      <c r="B3" s="20" t="inlineStr">
        <is>
          <t>Active carriers</t>
        </is>
      </c>
      <c r="C3" s="20" t="inlineStr">
        <is>
          <t>Cap</t>
        </is>
      </c>
      <c r="D3" s="20" t="inlineStr">
        <is>
          <t>Seats left</t>
        </is>
      </c>
      <c r="E3" s="20" t="inlineStr">
        <is>
          <t>Status</t>
        </is>
      </c>
    </row>
    <row r="4">
      <c r="A4" s="8" t="inlineStr">
        <is>
          <t>VS</t>
        </is>
      </c>
      <c r="B4" s="13">
        <f>IF(A4="","",COUNTIFS(Carriers!$N$4:$N$63,A4,Carriers!$D$4:$D$63,"Active"))</f>
        <v/>
      </c>
      <c r="C4" s="21" t="n">
        <v>8</v>
      </c>
      <c r="D4" s="13">
        <f>IF(A4="","",C4-B4)</f>
        <v/>
      </c>
      <c r="E4" s="13">
        <f>IF(A4="","",IF(D4&lt;=0,"FULL — wait list",IF(D4&lt;=2,"Nearly full","Open")))</f>
        <v/>
      </c>
    </row>
    <row r="5">
      <c r="A5" s="8" t="n"/>
      <c r="B5" s="13">
        <f>IF(A5="","",COUNTIFS(Carriers!$N$4:$N$63,A5,Carriers!$D$4:$D$63,"Active"))</f>
        <v/>
      </c>
      <c r="C5" s="21" t="n">
        <v>8</v>
      </c>
      <c r="D5" s="13">
        <f>IF(A5="","",C5-B5)</f>
        <v/>
      </c>
      <c r="E5" s="13">
        <f>IF(A5="","",IF(D5&lt;=0,"FULL — wait list",IF(D5&lt;=2,"Nearly full","Open")))</f>
        <v/>
      </c>
    </row>
    <row r="6">
      <c r="A6" s="8" t="n"/>
      <c r="B6" s="13">
        <f>IF(A6="","",COUNTIFS(Carriers!$N$4:$N$63,A6,Carriers!$D$4:$D$63,"Active"))</f>
        <v/>
      </c>
      <c r="C6" s="21" t="n">
        <v>8</v>
      </c>
      <c r="D6" s="13">
        <f>IF(A6="","",C6-B6)</f>
        <v/>
      </c>
      <c r="E6" s="13">
        <f>IF(A6="","",IF(D6&lt;=0,"FULL — wait list",IF(D6&lt;=2,"Nearly full","Open")))</f>
        <v/>
      </c>
    </row>
    <row r="7">
      <c r="A7" s="8" t="n"/>
      <c r="B7" s="13">
        <f>IF(A7="","",COUNTIFS(Carriers!$N$4:$N$63,A7,Carriers!$D$4:$D$63,"Active"))</f>
        <v/>
      </c>
      <c r="C7" s="21" t="n">
        <v>8</v>
      </c>
      <c r="D7" s="13">
        <f>IF(A7="","",C7-B7)</f>
        <v/>
      </c>
      <c r="E7" s="13">
        <f>IF(A7="","",IF(D7&lt;=0,"FULL — wait list",IF(D7&lt;=2,"Nearly full","Open")))</f>
        <v/>
      </c>
    </row>
    <row r="8">
      <c r="A8" s="8" t="n"/>
      <c r="B8" s="13">
        <f>IF(A8="","",COUNTIFS(Carriers!$N$4:$N$63,A8,Carriers!$D$4:$D$63,"Active"))</f>
        <v/>
      </c>
      <c r="C8" s="21" t="n">
        <v>8</v>
      </c>
      <c r="D8" s="13">
        <f>IF(A8="","",C8-B8)</f>
        <v/>
      </c>
      <c r="E8" s="13">
        <f>IF(A8="","",IF(D8&lt;=0,"FULL — wait list",IF(D8&lt;=2,"Nearly full","Open")))</f>
        <v/>
      </c>
    </row>
    <row r="9">
      <c r="A9" s="8" t="n"/>
      <c r="B9" s="13">
        <f>IF(A9="","",COUNTIFS(Carriers!$N$4:$N$63,A9,Carriers!$D$4:$D$63,"Active"))</f>
        <v/>
      </c>
      <c r="C9" s="21" t="n">
        <v>8</v>
      </c>
      <c r="D9" s="13">
        <f>IF(A9="","",C9-B9)</f>
        <v/>
      </c>
      <c r="E9" s="13">
        <f>IF(A9="","",IF(D9&lt;=0,"FULL — wait list",IF(D9&lt;=2,"Nearly full","Open")))</f>
        <v/>
      </c>
    </row>
    <row r="10">
      <c r="A10" s="8" t="n"/>
      <c r="B10" s="13">
        <f>IF(A10="","",COUNTIFS(Carriers!$N$4:$N$63,A10,Carriers!$D$4:$D$63,"Active"))</f>
        <v/>
      </c>
      <c r="C10" s="21" t="n">
        <v>8</v>
      </c>
      <c r="D10" s="13">
        <f>IF(A10="","",C10-B10)</f>
        <v/>
      </c>
      <c r="E10" s="13">
        <f>IF(A10="","",IF(D10&lt;=0,"FULL — wait list",IF(D10&lt;=2,"Nearly full","Open")))</f>
        <v/>
      </c>
    </row>
    <row r="11">
      <c r="A11" s="8" t="n"/>
      <c r="B11" s="13">
        <f>IF(A11="","",COUNTIFS(Carriers!$N$4:$N$63,A11,Carriers!$D$4:$D$63,"Active"))</f>
        <v/>
      </c>
      <c r="C11" s="21" t="n">
        <v>8</v>
      </c>
      <c r="D11" s="13">
        <f>IF(A11="","",C11-B11)</f>
        <v/>
      </c>
      <c r="E11" s="13">
        <f>IF(A11="","",IF(D11&lt;=0,"FULL — wait list",IF(D11&lt;=2,"Nearly full","Open")))</f>
        <v/>
      </c>
    </row>
    <row r="12">
      <c r="A12" s="8" t="n"/>
      <c r="B12" s="13">
        <f>IF(A12="","",COUNTIFS(Carriers!$N$4:$N$63,A12,Carriers!$D$4:$D$63,"Active"))</f>
        <v/>
      </c>
      <c r="C12" s="21" t="n">
        <v>8</v>
      </c>
      <c r="D12" s="13">
        <f>IF(A12="","",C12-B12)</f>
        <v/>
      </c>
      <c r="E12" s="13">
        <f>IF(A12="","",IF(D12&lt;=0,"FULL — wait list",IF(D12&lt;=2,"Nearly full","Open")))</f>
        <v/>
      </c>
    </row>
    <row r="13">
      <c r="A13" s="8" t="n"/>
      <c r="B13" s="13">
        <f>IF(A13="","",COUNTIFS(Carriers!$N$4:$N$63,A13,Carriers!$D$4:$D$63,"Active"))</f>
        <v/>
      </c>
      <c r="C13" s="21" t="n">
        <v>8</v>
      </c>
      <c r="D13" s="13">
        <f>IF(A13="","",C13-B13)</f>
        <v/>
      </c>
      <c r="E13" s="13">
        <f>IF(A13="","",IF(D13&lt;=0,"FULL — wait list",IF(D13&lt;=2,"Nearly full","Open")))</f>
        <v/>
      </c>
    </row>
  </sheetData>
  <conditionalFormatting sqref="E4:E13">
    <cfRule type="cellIs" priority="1" operator="equal" dxfId="4">
      <formula>"FULL — wait list"</formula>
    </cfRule>
    <cfRule type="cellIs" priority="2" operator="equal" dxfId="3">
      <formula>"Nearly full"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2026-09-21T22:40:37Z</dcterms:created>
  <dcterms:modified xsi:type="dcterms:W3CDTF">2026-09-21T22:43:13Z</dcterms:modified>
</cp:coreProperties>
</file>